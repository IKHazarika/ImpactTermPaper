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emester 3\Impact Evaluation\Term Paper\"/>
    </mc:Choice>
  </mc:AlternateContent>
  <xr:revisionPtr revIDLastSave="0" documentId="13_ncr:1_{2338F0F8-D8A9-4A1F-BD57-98E8F005452E}" xr6:coauthVersionLast="47" xr6:coauthVersionMax="47" xr10:uidLastSave="{00000000-0000-0000-0000-000000000000}"/>
  <bookViews>
    <workbookView xWindow="-108" yWindow="-108" windowWidth="23256" windowHeight="12456" activeTab="1" xr2:uid="{3A6B242A-D80D-47AA-AEBB-7A7C0342ACD5}"/>
  </bookViews>
  <sheets>
    <sheet name="Sheet2" sheetId="2" r:id="rId1"/>
    <sheet name="Sheet3" sheetId="3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2" i="3" l="1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26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" i="2"/>
</calcChain>
</file>

<file path=xl/sharedStrings.xml><?xml version="1.0" encoding="utf-8"?>
<sst xmlns="http://schemas.openxmlformats.org/spreadsheetml/2006/main" count="1373" uniqueCount="316">
  <si>
    <t>Hans Raj College</t>
  </si>
  <si>
    <t>BA(H)Economics</t>
  </si>
  <si>
    <t>B.A (H) Economics</t>
  </si>
  <si>
    <t>Hansraj College</t>
  </si>
  <si>
    <t>B.Sc.(H) Physics</t>
  </si>
  <si>
    <t>BA(H) Economics</t>
  </si>
  <si>
    <t xml:space="preserve">Hansraj College </t>
  </si>
  <si>
    <t>Hansraj College, University of Delhi</t>
  </si>
  <si>
    <t>Hindu College</t>
  </si>
  <si>
    <t>BA(H) Mathematics</t>
  </si>
  <si>
    <t>Hindu College, University of Delhi</t>
  </si>
  <si>
    <t>BA (Hons) Economics</t>
  </si>
  <si>
    <t>Shri Ram College Of Commerce</t>
  </si>
  <si>
    <t>Shri Ram College of Commerce</t>
  </si>
  <si>
    <t>SHRI RAM COLLEGE OF COMMERCE</t>
  </si>
  <si>
    <t>B.COM(H)</t>
  </si>
  <si>
    <t>BA (H) Economics</t>
  </si>
  <si>
    <t>BA(H)ECONOMICS</t>
  </si>
  <si>
    <t>Shri Ram college of commerce</t>
  </si>
  <si>
    <t>Shri Ram College of Commerce, DU</t>
  </si>
  <si>
    <t>Shri Ram College of Commerce, University of Delhi</t>
  </si>
  <si>
    <t>Undergraduate College</t>
  </si>
  <si>
    <t>Class 10 Marks(Aggregate %)</t>
  </si>
  <si>
    <t>Class 12 Marks(Aggregate %)</t>
  </si>
  <si>
    <t>Undergraduate Marks(Aggregate %)</t>
  </si>
  <si>
    <t>First Year Marks(Aggregate %)</t>
  </si>
  <si>
    <t>Last Academic Degree</t>
  </si>
  <si>
    <t>Vishwa Bharati Public School, Noida</t>
  </si>
  <si>
    <t>B.A. (Hons.) Economics</t>
  </si>
  <si>
    <t>Kendriya Vidyalaya Air Force Station, Allahabad</t>
  </si>
  <si>
    <t>Delhi Public School, R.K. Puram</t>
  </si>
  <si>
    <t>Hans Raj College, University of Delhi</t>
  </si>
  <si>
    <t>Tyagi Public School</t>
  </si>
  <si>
    <t>Assisi Convent School , Noida</t>
  </si>
  <si>
    <t>Govt. Girls Senior Secondary School 1, Shakti Nagar</t>
  </si>
  <si>
    <t>B.Sc. (Hons.) Maths</t>
  </si>
  <si>
    <t>B.S.F Senior Secondary School, Kadamtala,Siliguri, West Bengal</t>
  </si>
  <si>
    <t>Notre Dame Acedemy, Patna</t>
  </si>
  <si>
    <t>City Montessori School,L.D.A.,Lucknow</t>
  </si>
  <si>
    <t>LITTLE ANGELS SCHOOL, SONIPAT</t>
  </si>
  <si>
    <t>HANSRAJ COLLEGE, DELHI UNIVERSITY</t>
  </si>
  <si>
    <t>Modern Vidya Niketan, Sector-17, Faridabad</t>
  </si>
  <si>
    <t>Hansraj College, Delhi University</t>
  </si>
  <si>
    <t>Delhi Public School, RK Puram, New Delhi</t>
  </si>
  <si>
    <t>Holy Child SR. SEC. School Tagore Garden</t>
  </si>
  <si>
    <t xml:space="preserve">HINDU </t>
  </si>
  <si>
    <t>Delhi Public School, Patna</t>
  </si>
  <si>
    <t>HIndu College</t>
  </si>
  <si>
    <t>S D Public School, Pitampura</t>
  </si>
  <si>
    <t>City Montessori School, Chowk branch</t>
  </si>
  <si>
    <t>B.Sc. (Hons.) Statistics</t>
  </si>
  <si>
    <t>Govt. Sr. Secondary School, Roop Nagar, Delhi-110007</t>
  </si>
  <si>
    <t>HINDU College</t>
  </si>
  <si>
    <t>Delhi Public School, Dwarka</t>
  </si>
  <si>
    <t>Shah International School, Ambika Vihar</t>
  </si>
  <si>
    <t>Convent of Jesus and Mary, Dehradun</t>
  </si>
  <si>
    <t>Shri Ram Colege of Commerce</t>
  </si>
  <si>
    <t>St. Francis de Sales School, Delhi</t>
  </si>
  <si>
    <t>Delhi Public School, Indirapuram</t>
  </si>
  <si>
    <t>Bal Bharati Public School, Dwarka</t>
  </si>
  <si>
    <t>Mother's Global School, Preet Vihar</t>
  </si>
  <si>
    <t>DAV Public School, Ashok Vihar Ph-4, Delhi</t>
  </si>
  <si>
    <t>Satyanand Public School, Gohana</t>
  </si>
  <si>
    <t>The Indian School</t>
  </si>
  <si>
    <t>Delhi Public School, R.K.Puram</t>
  </si>
  <si>
    <t>Holy Child Sr. Sec. School</t>
  </si>
  <si>
    <t>Narayana Junior College, Hyderabad</t>
  </si>
  <si>
    <t>Delhi Public School, Vasant Kunj</t>
  </si>
  <si>
    <t>Brightlands School, Dehradun</t>
  </si>
  <si>
    <t>Springdales School, Pusa Road</t>
  </si>
  <si>
    <t>JVM Shyamali, Ranchi</t>
  </si>
  <si>
    <t>Army Public School, Dhaulakuan</t>
  </si>
  <si>
    <t xml:space="preserve">Delhi Public School , R.K.Puram </t>
  </si>
  <si>
    <t xml:space="preserve">Shri Ram College of Commerce </t>
  </si>
  <si>
    <t>Delhi Public School, Ranchi</t>
  </si>
  <si>
    <t>Methodist High School - Kanpur, UP</t>
  </si>
  <si>
    <t>Shri Ram College of Commerce , University of Delhi</t>
  </si>
  <si>
    <t>Ishani Sarvodaya Kanya Vidyalaya, Saket, New Delhi-110017</t>
  </si>
  <si>
    <t>Shri Ram College of Commerce, Maurice Nagar, New Delhi, Delhi-110007</t>
  </si>
  <si>
    <t>City Montessori School, RDSO, Lucknow</t>
  </si>
  <si>
    <t>Kendriya Vidyalaya, Noida.</t>
  </si>
  <si>
    <t>Shri Ram College of Commerce, University of Delhi.</t>
  </si>
  <si>
    <t>Class XII Score</t>
  </si>
  <si>
    <t>Class XII School</t>
  </si>
  <si>
    <t>Undergraduate Course</t>
  </si>
  <si>
    <t>Undergraduate Score</t>
  </si>
  <si>
    <t>Montfort Sr. Sec. School, Delhi</t>
  </si>
  <si>
    <t>Hans Raj College, Delhi University</t>
  </si>
  <si>
    <t>8.973/10</t>
  </si>
  <si>
    <t>Maharaja Agarsain Public School, Ashok Vihar</t>
  </si>
  <si>
    <t>St. Michael"s high school,Patna</t>
  </si>
  <si>
    <t>Hansraj</t>
  </si>
  <si>
    <t xml:space="preserve">Holy Angels’ Convent School, Muzaffarnagar </t>
  </si>
  <si>
    <t>8.635/10</t>
  </si>
  <si>
    <t>Swami Vivekananda Saraswati Vidya Mandir</t>
  </si>
  <si>
    <t>BAL BHARTI SCHOOL</t>
  </si>
  <si>
    <t>HANSRAJ COLLEGE</t>
  </si>
  <si>
    <t>DAV PUBLIC SCHOOL, Safilguda, Hyderabad</t>
  </si>
  <si>
    <t>8.392/10</t>
  </si>
  <si>
    <t>Deepanshu Public School</t>
  </si>
  <si>
    <t>6.45/10</t>
  </si>
  <si>
    <t>S.D.Adarsh Vidyalaya,Sector 47,Gurugram</t>
  </si>
  <si>
    <t>Sri Chaitanya Institute, Visakhapatnam, Andhra Pradesh</t>
  </si>
  <si>
    <t>7.62/10</t>
  </si>
  <si>
    <t>Dewan Public School, Meerut, Uttar Pradesh</t>
  </si>
  <si>
    <t>8.45/10</t>
  </si>
  <si>
    <t>Model School, Rohtak</t>
  </si>
  <si>
    <t>8.95/10</t>
  </si>
  <si>
    <t>96.25(BOF)</t>
  </si>
  <si>
    <t>Mount Abu Public School , Sector-5 Rohini Delhi</t>
  </si>
  <si>
    <t>9.054/10</t>
  </si>
  <si>
    <t>8.82/10</t>
  </si>
  <si>
    <t>D.R.K.A.V.M. , Charkhi Dadri</t>
  </si>
  <si>
    <t>7.89/10</t>
  </si>
  <si>
    <t>Goodley Public School</t>
  </si>
  <si>
    <t>7.054/10</t>
  </si>
  <si>
    <t>D.A.V. Centenary Public School, Paschim Enclave, New Delhi</t>
  </si>
  <si>
    <t>St.Conrads Intercollege, Agra</t>
  </si>
  <si>
    <t>Hindu College, Delhi University</t>
  </si>
  <si>
    <t>7.86/10</t>
  </si>
  <si>
    <t>Delhi Public School, Mathura Road, New Delhi</t>
  </si>
  <si>
    <t>9.014/10</t>
  </si>
  <si>
    <t>Army Public School, Nehru road Lucknow cantt</t>
  </si>
  <si>
    <t>Hindu College, DU</t>
  </si>
  <si>
    <t>B.A programme</t>
  </si>
  <si>
    <t>Bal Bharati Public School, Ganga Ram Marg</t>
  </si>
  <si>
    <t>8.324/10</t>
  </si>
  <si>
    <t>Ryan International School, Mayur Vihar</t>
  </si>
  <si>
    <t>Hindu college, University of Delhi</t>
  </si>
  <si>
    <t>9.365\10</t>
  </si>
  <si>
    <t>Bhau Rav Devras Saraswati Vidya Mandir, Noida5</t>
  </si>
  <si>
    <t>St. George's School, Alaknanda, New Delhi</t>
  </si>
  <si>
    <t>8.946/10</t>
  </si>
  <si>
    <t>Presidium School</t>
  </si>
  <si>
    <t>Shri ram college of commerce</t>
  </si>
  <si>
    <t>7.23/10</t>
  </si>
  <si>
    <t>St. Xavier's Senior Secondary School, Raj Niwas Marg, Delhi</t>
  </si>
  <si>
    <t>9.027/10</t>
  </si>
  <si>
    <t>Goodley Public School, Shalimar Bagh</t>
  </si>
  <si>
    <t>Rajkiya Pratibha Vikas Vidyalaya, Sector 10 Dwarka</t>
  </si>
  <si>
    <t>DAVPS, Sreshtha Vihar, Delhi - 110092</t>
  </si>
  <si>
    <t>9.135/10</t>
  </si>
  <si>
    <t>City Montessori School,LDA Branch,Lucknow</t>
  </si>
  <si>
    <t>6.57/10</t>
  </si>
  <si>
    <t>Sree Ayyappa Public School, Bokaro</t>
  </si>
  <si>
    <t>St Michael's High School, Patna, Bihar</t>
  </si>
  <si>
    <t>Sumermal Jain Public Schoo,Janakpuri</t>
  </si>
  <si>
    <t>8.07/10</t>
  </si>
  <si>
    <t>Suraj Bhan DAV Public School , Vasant Vihar , New Delhi-110057</t>
  </si>
  <si>
    <t xml:space="preserve">Shri Ram College Of Commerce </t>
  </si>
  <si>
    <t>9.405/10</t>
  </si>
  <si>
    <t>Delhi Public School, Dwarka, New Delhi</t>
  </si>
  <si>
    <t>7.09/10</t>
  </si>
  <si>
    <t xml:space="preserve">Seth M.R. Jaipuria School , Gomti Nagar Branch  </t>
  </si>
  <si>
    <t xml:space="preserve">Shri Ram College Of Commerce , University Of Delhi </t>
  </si>
  <si>
    <t xml:space="preserve">DAV Public School, Sector 37 Faridabad. </t>
  </si>
  <si>
    <t xml:space="preserve">Shri Ram College of Commerce. </t>
  </si>
  <si>
    <t>8.69/10</t>
  </si>
  <si>
    <t>8.041/10</t>
  </si>
  <si>
    <t xml:space="preserve">HANS RAJ COLLEGE, DELHI </t>
  </si>
  <si>
    <t>7.56/10</t>
  </si>
  <si>
    <t>Hansraj college</t>
  </si>
  <si>
    <t>6.459/10</t>
  </si>
  <si>
    <t xml:space="preserve">Hansraj college </t>
  </si>
  <si>
    <t>5.12/10</t>
  </si>
  <si>
    <t xml:space="preserve">Hansraj college , delhi university </t>
  </si>
  <si>
    <t>6.081/10</t>
  </si>
  <si>
    <t>8.18/10</t>
  </si>
  <si>
    <t>7.892/10</t>
  </si>
  <si>
    <t>8.36/10</t>
  </si>
  <si>
    <t xml:space="preserve">Hindu college </t>
  </si>
  <si>
    <t>9.068/10</t>
  </si>
  <si>
    <t xml:space="preserve">Hindu College </t>
  </si>
  <si>
    <t>Hindu College , University of Delhi</t>
  </si>
  <si>
    <t xml:space="preserve">Hindu College, Delhi University </t>
  </si>
  <si>
    <t>9.378/10</t>
  </si>
  <si>
    <t>HINDU COLLEGE, DU</t>
  </si>
  <si>
    <t>B.A PROGRAMME</t>
  </si>
  <si>
    <t>9.365/10</t>
  </si>
  <si>
    <t>7.865/10</t>
  </si>
  <si>
    <t>97% (Best of Four) , 96.6% (Best Five)</t>
  </si>
  <si>
    <t>8.986/10</t>
  </si>
  <si>
    <t>9.122/10</t>
  </si>
  <si>
    <t>8.405/10</t>
  </si>
  <si>
    <t>7.1/10</t>
  </si>
  <si>
    <t>8.068/10</t>
  </si>
  <si>
    <t>Shri Ram College of Commerce, Delhi University</t>
  </si>
  <si>
    <t>8.743/10</t>
  </si>
  <si>
    <t xml:space="preserve">Shri Ram College of Commerce, Delhi University </t>
  </si>
  <si>
    <t>8.689/10</t>
  </si>
  <si>
    <t>Shri ram college of commerce, university of Delhi.</t>
  </si>
  <si>
    <t>8.1/10</t>
  </si>
  <si>
    <t>8.77/10</t>
  </si>
  <si>
    <t>8.51/10</t>
  </si>
  <si>
    <t>7.27/10</t>
  </si>
  <si>
    <t>8.52/10</t>
  </si>
  <si>
    <t>8.43/10</t>
  </si>
  <si>
    <t>8.39/10</t>
  </si>
  <si>
    <t>9.14/10</t>
  </si>
  <si>
    <t>9.338/10</t>
  </si>
  <si>
    <t>9.257/10</t>
  </si>
  <si>
    <t>8.41/10</t>
  </si>
  <si>
    <t>8.32/10</t>
  </si>
  <si>
    <t>Hansraj College ,University of Delhi</t>
  </si>
  <si>
    <t>6.23/10</t>
  </si>
  <si>
    <t>8.59/10</t>
  </si>
  <si>
    <t>Harcourt Butler Technological Institute</t>
  </si>
  <si>
    <t>B.Tech</t>
  </si>
  <si>
    <t>9.203/10</t>
  </si>
  <si>
    <t>8.054/10</t>
  </si>
  <si>
    <t>8.16/10</t>
  </si>
  <si>
    <t>Hindu College,  Delhi University</t>
  </si>
  <si>
    <t>8.3/10</t>
  </si>
  <si>
    <t>7.905/10</t>
  </si>
  <si>
    <t>Hindu College, University Of Delhi</t>
  </si>
  <si>
    <t>B A HONS PHILOSOPHY</t>
  </si>
  <si>
    <t xml:space="preserve">Hindu College, University of Delhi </t>
  </si>
  <si>
    <t>6.446/10</t>
  </si>
  <si>
    <t>9.27/10</t>
  </si>
  <si>
    <t>9.44/10</t>
  </si>
  <si>
    <t>8.53/10</t>
  </si>
  <si>
    <t>9.77/10</t>
  </si>
  <si>
    <t>9.189/10</t>
  </si>
  <si>
    <t>9.08/10</t>
  </si>
  <si>
    <t>7.63/10</t>
  </si>
  <si>
    <t>8.432/10</t>
  </si>
  <si>
    <t>8/10</t>
  </si>
  <si>
    <t>9.23/10</t>
  </si>
  <si>
    <t>9.459/10</t>
  </si>
  <si>
    <t xml:space="preserve">Shri ram college of commerce </t>
  </si>
  <si>
    <t>6.64/10</t>
  </si>
  <si>
    <t>8.57/10</t>
  </si>
  <si>
    <t>9.568/10</t>
  </si>
  <si>
    <t>7.67/10</t>
  </si>
  <si>
    <t>8.89/10</t>
  </si>
  <si>
    <t>8.00/10</t>
  </si>
  <si>
    <t>6.2/10</t>
  </si>
  <si>
    <t>9.19/10</t>
  </si>
  <si>
    <t>8.797/10</t>
  </si>
  <si>
    <t>7.03/10</t>
  </si>
  <si>
    <t>7.77/10</t>
  </si>
  <si>
    <t>9.25/10</t>
  </si>
  <si>
    <t>7.98/10</t>
  </si>
  <si>
    <t>Hansraj College, University of Delhi.</t>
  </si>
  <si>
    <t>8.622/10</t>
  </si>
  <si>
    <t xml:space="preserve">Harcourt Butler Technical University Kanpur </t>
  </si>
  <si>
    <t xml:space="preserve">BTech </t>
  </si>
  <si>
    <t>8.97/10</t>
  </si>
  <si>
    <t>8.554/10</t>
  </si>
  <si>
    <t>8.19/10</t>
  </si>
  <si>
    <t>7.284/10</t>
  </si>
  <si>
    <t>8.99/10</t>
  </si>
  <si>
    <t>9.29/10</t>
  </si>
  <si>
    <t>8.27/10</t>
  </si>
  <si>
    <t>Shri Ram College of commerce</t>
  </si>
  <si>
    <t>8.189/10</t>
  </si>
  <si>
    <t>9.635/10</t>
  </si>
  <si>
    <t>7.7/10</t>
  </si>
  <si>
    <t>7.757/10</t>
  </si>
  <si>
    <t>9.03/10</t>
  </si>
  <si>
    <t>7.39/10</t>
  </si>
  <si>
    <t>9.55/10</t>
  </si>
  <si>
    <t>8.9/10</t>
  </si>
  <si>
    <t>Shri ram College of Commerce</t>
  </si>
  <si>
    <t>7.02/10</t>
  </si>
  <si>
    <t>8.25/10</t>
  </si>
  <si>
    <t>8.94/10</t>
  </si>
  <si>
    <t>7.5/10</t>
  </si>
  <si>
    <t>7.176/10</t>
  </si>
  <si>
    <t>B.Com (Hons.)</t>
  </si>
  <si>
    <t>7.10/10</t>
  </si>
  <si>
    <t>7.419/10</t>
  </si>
  <si>
    <t>9.07/10</t>
  </si>
  <si>
    <t>Shyam lal College</t>
  </si>
  <si>
    <t>7.392/10</t>
  </si>
  <si>
    <t>Shyam lal college</t>
  </si>
  <si>
    <t xml:space="preserve">Shyam Lal College </t>
  </si>
  <si>
    <t xml:space="preserve">Shyam lal college (university of Delhi) </t>
  </si>
  <si>
    <t>8.2/10</t>
  </si>
  <si>
    <t>Shyama Prasad Mukherji College For Women, Delhi University</t>
  </si>
  <si>
    <t>7.9/10</t>
  </si>
  <si>
    <t>Shyama Prashad Mukherjee College</t>
  </si>
  <si>
    <t>Sri Guru Gobind Singh College of Commerce</t>
  </si>
  <si>
    <t>8.12/10</t>
  </si>
  <si>
    <t>Sri Guru Gobind Singh college of commerce</t>
  </si>
  <si>
    <t>8.84/10</t>
  </si>
  <si>
    <t>Sri Guru Gobind Singh College Of Commerce</t>
  </si>
  <si>
    <t>8.47/10</t>
  </si>
  <si>
    <t xml:space="preserve">Sri Guru Gobind Singh College of Commerce </t>
  </si>
  <si>
    <t>Sri Guru Gobind Singh College of Commerce (University of Delhi)</t>
  </si>
  <si>
    <t>Sri Guru Gobind Singh College of Commerce, Delhi University</t>
  </si>
  <si>
    <t>B.Sc.(Hons.) Computer Science</t>
  </si>
  <si>
    <t>8.61/10</t>
  </si>
  <si>
    <t>Sri Guru Tegh Bahadur Khalsa College</t>
  </si>
  <si>
    <t xml:space="preserve">Sri Guru Tegh Bahadur Khalsa College </t>
  </si>
  <si>
    <t xml:space="preserve">BA Programme </t>
  </si>
  <si>
    <t>sri ram college of commerce</t>
  </si>
  <si>
    <t>Sri Ram College Of Commerce</t>
  </si>
  <si>
    <t xml:space="preserve">Sri Ram college of commerce </t>
  </si>
  <si>
    <t>Sri Ram College of Commerce, University of Delhi</t>
  </si>
  <si>
    <t>Year</t>
  </si>
  <si>
    <t>College</t>
  </si>
  <si>
    <t>Score12</t>
  </si>
  <si>
    <t>ScoreUG</t>
  </si>
  <si>
    <t>Hindu Cutoff</t>
  </si>
  <si>
    <t>SRCC Cutoff</t>
  </si>
  <si>
    <t>HRC</t>
  </si>
  <si>
    <t>Hindu</t>
  </si>
  <si>
    <t>SRCC</t>
  </si>
  <si>
    <t>General</t>
  </si>
  <si>
    <t>OBC</t>
  </si>
  <si>
    <t>SC</t>
  </si>
  <si>
    <t>ST</t>
  </si>
  <si>
    <t>Category</t>
  </si>
  <si>
    <t>HRC Cutoff</t>
  </si>
  <si>
    <t>YearOfAdmission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</si>
</sst>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</font>
    <font>
      <b/>
      <sz val="10"/>
      <color rgb="FF000000"/>
      <name val="Arial"/>
    </font>
    <font>
      <sz val="10"/>
      <name val="Arial"/>
    </font>
    <font>
      <sz val="10"/>
      <color theme="1"/>
      <name val="Arial"/>
    </font>
    <font>
      <sz val="11"/>
      <name val="Calibri"/>
    </font>
    <font>
      <sz val="10"/>
      <color theme="1"/>
      <name val="Calibri"/>
      <scheme val="minor"/>
    </font>
    <font>
      <b/>
      <sz val="10"/>
      <color theme="1"/>
      <name val="Calibri"/>
      <family val="2"/>
      <scheme val="minor"/>
    </font>
    <font>
      <b/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EEEEE"/>
        <bgColor rgb="FFEEEEEE"/>
      </patternFill>
    </fill>
    <fill>
      <patternFill patternType="solid">
        <fgColor rgb="FFDDDDDD"/>
        <bgColor rgb="FFDDDDD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0" xfId="0" applyFont="1" applyFill="1" applyAlignment="1">
      <alignment wrapText="1"/>
    </xf>
    <xf numFmtId="0" fontId="3" fillId="3" borderId="0" xfId="0" applyFont="1" applyFill="1" applyAlignment="1">
      <alignment horizontal="center" wrapText="1"/>
    </xf>
    <xf numFmtId="0" fontId="4" fillId="0" borderId="0" xfId="0" applyFont="1"/>
    <xf numFmtId="0" fontId="5" fillId="0" borderId="0" xfId="0" applyFont="1"/>
    <xf numFmtId="10" fontId="5" fillId="0" borderId="0" xfId="0" applyNumberFormat="1" applyFont="1"/>
    <xf numFmtId="10" fontId="6" fillId="0" borderId="0" xfId="0" applyNumberFormat="1" applyFont="1"/>
    <xf numFmtId="0" fontId="7" fillId="0" borderId="0" xfId="0" applyFont="1"/>
    <xf numFmtId="10" fontId="7" fillId="0" borderId="0" xfId="0" applyNumberFormat="1" applyFont="1"/>
    <xf numFmtId="0" fontId="7" fillId="0" borderId="0" xfId="0" quotePrefix="1" applyFont="1"/>
    <xf numFmtId="0" fontId="8" fillId="0" borderId="0" xfId="0" applyFont="1"/>
    <xf numFmtId="0" fontId="4" fillId="0" borderId="0" xfId="0" applyFont="1" applyAlignment="1">
      <alignment horizontal="right"/>
    </xf>
    <xf numFmtId="10" fontId="4" fillId="0" borderId="0" xfId="0" applyNumberFormat="1" applyFont="1" applyAlignment="1">
      <alignment horizontal="right"/>
    </xf>
    <xf numFmtId="9" fontId="4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1" fillId="0" borderId="0" xfId="0" applyFont="1"/>
    <xf numFmtId="0" fontId="10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2" fontId="2" fillId="2" borderId="0" xfId="0" applyNumberFormat="1" applyFont="1" applyFill="1" applyAlignment="1">
      <alignment wrapText="1"/>
    </xf>
    <xf numFmtId="2" fontId="4" fillId="0" borderId="0" xfId="0" applyNumberFormat="1" applyFont="1"/>
    <xf numFmtId="2" fontId="0" fillId="0" borderId="0" xfId="0" applyNumberFormat="1"/>
    <xf numFmtId="2" fontId="7" fillId="0" borderId="0" xfId="0" applyNumberFormat="1" applyFont="1"/>
    <xf numFmtId="2" fontId="5" fillId="0" borderId="0" xfId="0" applyNumberFormat="1" applyFont="1"/>
    <xf numFmtId="2" fontId="4" fillId="0" borderId="0" xfId="0" applyNumberFormat="1" applyFont="1" applyAlignment="1">
      <alignment horizontal="right"/>
    </xf>
    <xf numFmtId="2" fontId="6" fillId="0" borderId="0" xfId="0" applyNumberFormat="1" applyFont="1"/>
    <xf numFmtId="2" fontId="7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23DB3-714F-40BD-A624-FE103AE0CACD}">
  <sheetPr codeName="Sheet1"/>
  <dimension ref="A1:V269"/>
  <sheetViews>
    <sheetView zoomScale="83" workbookViewId="0">
      <pane ySplit="1" topLeftCell="A2" activePane="bottomLeft" state="frozen"/>
      <selection pane="bottomLeft" activeCell="A9" sqref="A1:K267"/>
    </sheetView>
  </sheetViews>
  <sheetFormatPr defaultRowHeight="14.4"/>
  <cols>
    <col min="7" max="7" width="12.88671875" customWidth="1"/>
    <col min="8" max="8" width="12.33203125" customWidth="1"/>
    <col min="9" max="9" width="12.88671875" customWidth="1"/>
  </cols>
  <sheetData>
    <row r="1" spans="1:11">
      <c r="A1" s="16" t="s">
        <v>300</v>
      </c>
      <c r="B1" s="16" t="s">
        <v>302</v>
      </c>
      <c r="C1" s="16" t="s">
        <v>303</v>
      </c>
      <c r="D1" s="16" t="s">
        <v>306</v>
      </c>
      <c r="E1" s="16" t="s">
        <v>307</v>
      </c>
      <c r="F1" s="16" t="s">
        <v>308</v>
      </c>
      <c r="G1" s="16" t="s">
        <v>314</v>
      </c>
      <c r="H1" s="16" t="s">
        <v>304</v>
      </c>
      <c r="I1" s="16" t="s">
        <v>305</v>
      </c>
      <c r="J1" s="16" t="s">
        <v>313</v>
      </c>
      <c r="K1" s="16" t="s">
        <v>301</v>
      </c>
    </row>
    <row r="2" spans="1:11">
      <c r="A2">
        <f t="shared" ref="A2:A25" si="0">2013-5</f>
        <v>2008</v>
      </c>
      <c r="B2" s="20">
        <v>93.8</v>
      </c>
      <c r="C2" s="20">
        <v>76.8</v>
      </c>
      <c r="D2" s="1">
        <v>1</v>
      </c>
      <c r="E2" s="1">
        <v>0</v>
      </c>
      <c r="F2" s="1">
        <v>0</v>
      </c>
    </row>
    <row r="3" spans="1:11">
      <c r="A3">
        <f t="shared" si="0"/>
        <v>2008</v>
      </c>
      <c r="B3" s="20">
        <v>91.2</v>
      </c>
      <c r="C3" s="20">
        <v>76</v>
      </c>
      <c r="D3" s="1">
        <v>1</v>
      </c>
      <c r="E3" s="1">
        <v>0</v>
      </c>
      <c r="F3" s="1">
        <v>0</v>
      </c>
    </row>
    <row r="4" spans="1:11">
      <c r="A4">
        <f t="shared" si="0"/>
        <v>2008</v>
      </c>
      <c r="B4" s="20">
        <v>80</v>
      </c>
      <c r="C4" s="20">
        <v>77.11</v>
      </c>
      <c r="D4" s="1">
        <v>1</v>
      </c>
      <c r="E4" s="1">
        <v>0</v>
      </c>
      <c r="F4" s="1">
        <v>0</v>
      </c>
    </row>
    <row r="5" spans="1:11">
      <c r="A5">
        <f t="shared" si="0"/>
        <v>2008</v>
      </c>
      <c r="B5" s="20">
        <v>93.6</v>
      </c>
      <c r="C5" s="20">
        <v>67</v>
      </c>
      <c r="D5" s="1">
        <v>1</v>
      </c>
      <c r="E5" s="1">
        <v>0</v>
      </c>
      <c r="F5" s="1">
        <v>0</v>
      </c>
    </row>
    <row r="6" spans="1:11">
      <c r="A6">
        <f t="shared" si="0"/>
        <v>2008</v>
      </c>
      <c r="B6" s="20">
        <v>92</v>
      </c>
      <c r="C6" s="20">
        <v>74.099999999999994</v>
      </c>
      <c r="D6" s="1">
        <v>1</v>
      </c>
      <c r="E6" s="1">
        <v>0</v>
      </c>
      <c r="F6" s="1">
        <v>0</v>
      </c>
      <c r="K6" s="22"/>
    </row>
    <row r="7" spans="1:11">
      <c r="A7">
        <f t="shared" si="0"/>
        <v>2008</v>
      </c>
      <c r="B7" s="20">
        <v>92.2</v>
      </c>
      <c r="C7" s="20">
        <v>70.7</v>
      </c>
      <c r="D7" s="1">
        <v>1</v>
      </c>
      <c r="E7" s="1">
        <v>0</v>
      </c>
      <c r="F7" s="1">
        <v>0</v>
      </c>
    </row>
    <row r="8" spans="1:11">
      <c r="A8">
        <f t="shared" si="0"/>
        <v>2008</v>
      </c>
      <c r="B8" s="20">
        <v>92.4</v>
      </c>
      <c r="C8" s="20">
        <v>80.099999999999994</v>
      </c>
      <c r="D8" s="1">
        <v>1</v>
      </c>
      <c r="E8" s="1">
        <v>0</v>
      </c>
      <c r="F8" s="1">
        <v>0</v>
      </c>
    </row>
    <row r="9" spans="1:11">
      <c r="A9">
        <f t="shared" si="0"/>
        <v>2008</v>
      </c>
      <c r="B9" s="20">
        <v>90.2</v>
      </c>
      <c r="C9" s="20">
        <v>80.540000000000006</v>
      </c>
      <c r="D9" s="1">
        <v>0</v>
      </c>
      <c r="E9" s="1">
        <v>1</v>
      </c>
      <c r="F9" s="1">
        <v>0</v>
      </c>
    </row>
    <row r="10" spans="1:11">
      <c r="A10">
        <f t="shared" si="0"/>
        <v>2008</v>
      </c>
      <c r="B10" s="20">
        <v>93.66</v>
      </c>
      <c r="C10" s="20">
        <v>69.400000000000006</v>
      </c>
      <c r="D10" s="1">
        <v>0</v>
      </c>
      <c r="E10" s="1">
        <v>1</v>
      </c>
      <c r="F10" s="1">
        <v>0</v>
      </c>
    </row>
    <row r="11" spans="1:11">
      <c r="A11">
        <f t="shared" si="0"/>
        <v>2008</v>
      </c>
      <c r="B11" s="20">
        <v>93.2</v>
      </c>
      <c r="C11" s="20">
        <v>82.3</v>
      </c>
      <c r="D11" s="1">
        <v>0</v>
      </c>
      <c r="E11" s="1">
        <v>1</v>
      </c>
      <c r="F11" s="1">
        <v>0</v>
      </c>
    </row>
    <row r="12" spans="1:11">
      <c r="A12">
        <f t="shared" si="0"/>
        <v>2008</v>
      </c>
      <c r="B12" s="20">
        <v>88.2</v>
      </c>
      <c r="C12" s="20">
        <v>69.09</v>
      </c>
      <c r="D12" s="1">
        <v>0</v>
      </c>
      <c r="E12" s="1">
        <v>1</v>
      </c>
      <c r="F12" s="1">
        <v>0</v>
      </c>
    </row>
    <row r="13" spans="1:11">
      <c r="A13">
        <f t="shared" si="0"/>
        <v>2008</v>
      </c>
      <c r="B13" s="20">
        <v>93</v>
      </c>
      <c r="C13" s="20">
        <v>78.599999999999994</v>
      </c>
      <c r="D13" s="1">
        <v>0</v>
      </c>
      <c r="E13" s="1">
        <v>1</v>
      </c>
      <c r="F13" s="1">
        <v>0</v>
      </c>
    </row>
    <row r="14" spans="1:11">
      <c r="A14">
        <f t="shared" si="0"/>
        <v>2008</v>
      </c>
      <c r="B14" s="20">
        <v>89</v>
      </c>
      <c r="C14" s="20">
        <v>61.7</v>
      </c>
      <c r="D14" s="1">
        <v>0</v>
      </c>
      <c r="E14" s="1">
        <v>0</v>
      </c>
      <c r="F14" s="1">
        <v>1</v>
      </c>
    </row>
    <row r="15" spans="1:11">
      <c r="A15">
        <f t="shared" si="0"/>
        <v>2008</v>
      </c>
      <c r="B15" s="20">
        <v>94.2</v>
      </c>
      <c r="C15" s="20">
        <v>67.099999999999994</v>
      </c>
      <c r="D15" s="1">
        <v>0</v>
      </c>
      <c r="E15" s="1">
        <v>0</v>
      </c>
      <c r="F15" s="1">
        <v>1</v>
      </c>
    </row>
    <row r="16" spans="1:11">
      <c r="A16">
        <f t="shared" si="0"/>
        <v>2008</v>
      </c>
      <c r="B16" s="20">
        <v>93</v>
      </c>
      <c r="C16" s="20">
        <v>75.05</v>
      </c>
      <c r="D16" s="1">
        <v>0</v>
      </c>
      <c r="E16" s="1">
        <v>0</v>
      </c>
      <c r="F16" s="1">
        <v>1</v>
      </c>
    </row>
    <row r="17" spans="1:22">
      <c r="A17">
        <f t="shared" si="0"/>
        <v>2008</v>
      </c>
      <c r="B17" s="20">
        <v>94</v>
      </c>
      <c r="C17" s="20">
        <v>78.599999999999994</v>
      </c>
      <c r="D17" s="1">
        <v>0</v>
      </c>
      <c r="E17" s="1">
        <v>0</v>
      </c>
      <c r="F17" s="1">
        <v>1</v>
      </c>
      <c r="N17" s="16"/>
      <c r="O17" s="16"/>
      <c r="P17" s="16"/>
      <c r="Q17" s="16"/>
      <c r="R17" s="16"/>
      <c r="S17" s="16"/>
      <c r="T17" s="16"/>
      <c r="U17" s="16"/>
      <c r="V17" s="16"/>
    </row>
    <row r="18" spans="1:22">
      <c r="A18">
        <f t="shared" si="0"/>
        <v>2008</v>
      </c>
      <c r="B18" s="20">
        <v>95.2</v>
      </c>
      <c r="C18" s="20">
        <v>67.900000000000006</v>
      </c>
      <c r="D18" s="1">
        <v>0</v>
      </c>
      <c r="E18" s="1">
        <v>0</v>
      </c>
      <c r="F18" s="1">
        <v>1</v>
      </c>
      <c r="O18" s="21"/>
      <c r="P18" s="21"/>
      <c r="Q18" s="1"/>
      <c r="R18" s="1"/>
      <c r="S18" s="1"/>
    </row>
    <row r="19" spans="1:22">
      <c r="A19">
        <f t="shared" si="0"/>
        <v>2008</v>
      </c>
      <c r="B19" s="20">
        <v>89.4</v>
      </c>
      <c r="C19" s="20">
        <v>73</v>
      </c>
      <c r="D19" s="1">
        <v>0</v>
      </c>
      <c r="E19" s="1">
        <v>0</v>
      </c>
      <c r="F19" s="1">
        <v>1</v>
      </c>
      <c r="O19" s="24"/>
      <c r="P19" s="24"/>
      <c r="Q19" s="1"/>
      <c r="R19" s="1"/>
      <c r="S19" s="1"/>
    </row>
    <row r="20" spans="1:22">
      <c r="A20">
        <f t="shared" si="0"/>
        <v>2008</v>
      </c>
      <c r="B20" s="20">
        <v>89</v>
      </c>
      <c r="C20" s="20">
        <v>67.400000000000006</v>
      </c>
      <c r="D20" s="1">
        <v>0</v>
      </c>
      <c r="E20" s="1">
        <v>0</v>
      </c>
      <c r="F20" s="1">
        <v>1</v>
      </c>
      <c r="O20" s="22"/>
      <c r="P20" s="22"/>
      <c r="Q20" s="17"/>
      <c r="R20" s="1"/>
      <c r="S20" s="1"/>
    </row>
    <row r="21" spans="1:22">
      <c r="A21">
        <f t="shared" si="0"/>
        <v>2008</v>
      </c>
      <c r="B21" s="20">
        <v>95.8</v>
      </c>
      <c r="C21" s="20">
        <v>82.2</v>
      </c>
      <c r="D21" s="1">
        <v>0</v>
      </c>
      <c r="E21" s="1">
        <v>0</v>
      </c>
      <c r="F21" s="1">
        <v>1</v>
      </c>
      <c r="O21" s="23"/>
      <c r="P21" s="23"/>
      <c r="Q21" s="7"/>
      <c r="R21" s="1"/>
      <c r="S21" s="1"/>
    </row>
    <row r="22" spans="1:22">
      <c r="A22">
        <f t="shared" si="0"/>
        <v>2008</v>
      </c>
      <c r="B22" s="20">
        <v>85.8</v>
      </c>
      <c r="C22" s="20">
        <v>71.099999999999994</v>
      </c>
      <c r="D22" s="1">
        <v>0</v>
      </c>
      <c r="E22" s="1">
        <v>0</v>
      </c>
      <c r="F22" s="1">
        <v>1</v>
      </c>
      <c r="O22" s="21"/>
      <c r="P22" s="21"/>
      <c r="Q22" s="1"/>
      <c r="R22" s="1"/>
      <c r="S22" s="1"/>
    </row>
    <row r="23" spans="1:22">
      <c r="A23">
        <f t="shared" si="0"/>
        <v>2008</v>
      </c>
      <c r="B23" s="20">
        <v>92.4</v>
      </c>
      <c r="C23" s="20">
        <v>76.900000000000006</v>
      </c>
      <c r="D23" s="1">
        <v>0</v>
      </c>
      <c r="E23" s="1">
        <v>0</v>
      </c>
      <c r="F23" s="1">
        <v>1</v>
      </c>
      <c r="O23" s="23"/>
      <c r="P23" s="23"/>
      <c r="Q23" s="1"/>
      <c r="R23" s="1"/>
      <c r="S23" s="1"/>
    </row>
    <row r="24" spans="1:22">
      <c r="A24">
        <f t="shared" si="0"/>
        <v>2008</v>
      </c>
      <c r="B24" s="20">
        <v>94.4</v>
      </c>
      <c r="C24" s="20">
        <v>78.8</v>
      </c>
      <c r="D24" s="1">
        <v>0</v>
      </c>
      <c r="E24" s="1">
        <v>0</v>
      </c>
      <c r="F24" s="1">
        <v>1</v>
      </c>
      <c r="O24" s="22"/>
      <c r="P24" s="22"/>
      <c r="Q24" s="17"/>
      <c r="R24" s="1"/>
      <c r="S24" s="1"/>
    </row>
    <row r="25" spans="1:22">
      <c r="A25">
        <f t="shared" si="0"/>
        <v>2008</v>
      </c>
      <c r="B25" s="20">
        <v>94.4</v>
      </c>
      <c r="C25" s="20">
        <v>78.8</v>
      </c>
      <c r="D25" s="1">
        <v>0</v>
      </c>
      <c r="E25" s="1">
        <v>0</v>
      </c>
      <c r="F25" s="1">
        <v>1</v>
      </c>
    </row>
    <row r="26" spans="1:22">
      <c r="A26">
        <f t="shared" ref="A26:A66" si="1">2019-5</f>
        <v>2014</v>
      </c>
      <c r="B26" s="21">
        <v>95.6</v>
      </c>
      <c r="C26" s="21">
        <v>82.11</v>
      </c>
      <c r="D26" s="3">
        <v>1</v>
      </c>
      <c r="E26" s="1">
        <v>0</v>
      </c>
      <c r="F26" s="1">
        <v>0</v>
      </c>
      <c r="G26">
        <v>95</v>
      </c>
      <c r="H26">
        <v>95</v>
      </c>
      <c r="I26">
        <v>96.5</v>
      </c>
      <c r="J26" t="s">
        <v>310</v>
      </c>
      <c r="K26" t="s">
        <v>306</v>
      </c>
    </row>
    <row r="27" spans="1:22">
      <c r="A27">
        <f t="shared" si="1"/>
        <v>2014</v>
      </c>
      <c r="B27" s="21">
        <v>94.8</v>
      </c>
      <c r="C27" s="21">
        <v>75.760000000000005</v>
      </c>
      <c r="D27" s="3">
        <v>1</v>
      </c>
      <c r="E27" s="1">
        <v>0</v>
      </c>
      <c r="F27" s="1">
        <v>0</v>
      </c>
      <c r="G27">
        <v>92</v>
      </c>
      <c r="H27">
        <v>93</v>
      </c>
      <c r="I27">
        <v>95.25</v>
      </c>
      <c r="J27" t="s">
        <v>311</v>
      </c>
      <c r="K27" t="s">
        <v>306</v>
      </c>
    </row>
    <row r="28" spans="1:22">
      <c r="A28">
        <f t="shared" si="1"/>
        <v>2014</v>
      </c>
      <c r="B28" s="21">
        <v>96.2</v>
      </c>
      <c r="C28" s="21">
        <v>61.274999999999999</v>
      </c>
      <c r="D28" s="3">
        <v>1</v>
      </c>
      <c r="E28" s="1">
        <v>0</v>
      </c>
      <c r="F28" s="1">
        <v>0</v>
      </c>
      <c r="G28">
        <v>95</v>
      </c>
      <c r="H28">
        <v>95</v>
      </c>
      <c r="I28">
        <v>96.5</v>
      </c>
      <c r="J28" t="s">
        <v>310</v>
      </c>
      <c r="K28" t="s">
        <v>306</v>
      </c>
    </row>
    <row r="29" spans="1:22">
      <c r="A29">
        <f t="shared" si="1"/>
        <v>2014</v>
      </c>
      <c r="B29" s="21">
        <v>96.2</v>
      </c>
      <c r="C29" s="21">
        <v>84.08</v>
      </c>
      <c r="D29" s="3">
        <v>1</v>
      </c>
      <c r="E29" s="1">
        <v>0</v>
      </c>
      <c r="F29" s="1">
        <v>0</v>
      </c>
      <c r="G29">
        <v>95</v>
      </c>
      <c r="H29">
        <v>95</v>
      </c>
      <c r="I29">
        <v>96.5</v>
      </c>
      <c r="J29" t="s">
        <v>310</v>
      </c>
      <c r="K29" t="s">
        <v>306</v>
      </c>
    </row>
    <row r="30" spans="1:22">
      <c r="A30">
        <f t="shared" si="1"/>
        <v>2014</v>
      </c>
      <c r="B30" s="21">
        <v>97</v>
      </c>
      <c r="C30" s="21">
        <v>87.72</v>
      </c>
      <c r="D30" s="3">
        <v>1</v>
      </c>
      <c r="E30" s="1">
        <v>0</v>
      </c>
      <c r="F30" s="1">
        <v>0</v>
      </c>
      <c r="G30">
        <v>95</v>
      </c>
      <c r="H30">
        <v>95</v>
      </c>
      <c r="I30">
        <v>96.5</v>
      </c>
      <c r="J30" t="s">
        <v>310</v>
      </c>
      <c r="K30" t="s">
        <v>306</v>
      </c>
    </row>
    <row r="31" spans="1:22">
      <c r="A31">
        <f t="shared" si="1"/>
        <v>2014</v>
      </c>
      <c r="B31" s="21">
        <v>94</v>
      </c>
      <c r="C31" s="21">
        <v>81.150000000000006</v>
      </c>
      <c r="D31" s="3">
        <v>1</v>
      </c>
      <c r="E31" s="1">
        <v>0</v>
      </c>
      <c r="F31" s="1">
        <v>0</v>
      </c>
      <c r="G31">
        <v>92</v>
      </c>
      <c r="H31">
        <v>93</v>
      </c>
      <c r="I31">
        <v>95.25</v>
      </c>
      <c r="J31" t="s">
        <v>311</v>
      </c>
      <c r="K31" t="s">
        <v>306</v>
      </c>
    </row>
    <row r="32" spans="1:22">
      <c r="A32">
        <f t="shared" si="1"/>
        <v>2014</v>
      </c>
      <c r="B32" s="21">
        <v>86.6</v>
      </c>
      <c r="C32" s="21">
        <v>74.239999999999995</v>
      </c>
      <c r="D32" s="3">
        <v>1</v>
      </c>
      <c r="E32" s="1">
        <v>0</v>
      </c>
      <c r="F32" s="1">
        <v>0</v>
      </c>
      <c r="K32" t="s">
        <v>306</v>
      </c>
    </row>
    <row r="33" spans="1:11">
      <c r="A33">
        <f t="shared" si="1"/>
        <v>2014</v>
      </c>
      <c r="B33" s="21">
        <v>94</v>
      </c>
      <c r="C33" s="21">
        <v>79.52</v>
      </c>
      <c r="D33" s="3">
        <v>1</v>
      </c>
      <c r="E33" s="1">
        <v>0</v>
      </c>
      <c r="F33" s="1">
        <v>0</v>
      </c>
      <c r="G33">
        <v>92</v>
      </c>
      <c r="H33">
        <v>93</v>
      </c>
      <c r="I33">
        <v>95.25</v>
      </c>
      <c r="J33" t="s">
        <v>311</v>
      </c>
      <c r="K33" t="s">
        <v>306</v>
      </c>
    </row>
    <row r="34" spans="1:11">
      <c r="A34">
        <f t="shared" si="1"/>
        <v>2014</v>
      </c>
      <c r="B34" s="21">
        <v>90.5</v>
      </c>
      <c r="C34" s="21">
        <v>69.599999999999994</v>
      </c>
      <c r="D34" s="3">
        <v>1</v>
      </c>
      <c r="E34" s="1">
        <v>0</v>
      </c>
      <c r="F34" s="1">
        <v>0</v>
      </c>
      <c r="G34">
        <v>90</v>
      </c>
      <c r="H34">
        <v>91.25</v>
      </c>
      <c r="I34">
        <v>90.5</v>
      </c>
      <c r="J34" t="s">
        <v>312</v>
      </c>
      <c r="K34" t="s">
        <v>306</v>
      </c>
    </row>
    <row r="35" spans="1:11">
      <c r="A35">
        <f t="shared" si="1"/>
        <v>2014</v>
      </c>
      <c r="B35" s="21">
        <v>94.6</v>
      </c>
      <c r="C35" s="21">
        <v>80.56</v>
      </c>
      <c r="D35" s="3">
        <v>1</v>
      </c>
      <c r="E35" s="1">
        <v>0</v>
      </c>
      <c r="F35" s="1">
        <v>0</v>
      </c>
      <c r="G35">
        <v>92</v>
      </c>
      <c r="H35">
        <v>93</v>
      </c>
      <c r="I35">
        <v>95.25</v>
      </c>
      <c r="J35" t="s">
        <v>311</v>
      </c>
      <c r="K35" t="s">
        <v>306</v>
      </c>
    </row>
    <row r="36" spans="1:11">
      <c r="A36">
        <f t="shared" si="1"/>
        <v>2014</v>
      </c>
      <c r="B36" s="21">
        <v>95</v>
      </c>
      <c r="C36" s="21">
        <v>72.680000000000007</v>
      </c>
      <c r="D36" s="3">
        <v>1</v>
      </c>
      <c r="E36" s="1">
        <v>0</v>
      </c>
      <c r="F36" s="1">
        <v>0</v>
      </c>
      <c r="G36">
        <v>95</v>
      </c>
      <c r="H36">
        <v>95</v>
      </c>
      <c r="I36">
        <v>96.5</v>
      </c>
      <c r="J36" t="s">
        <v>310</v>
      </c>
      <c r="K36" t="s">
        <v>306</v>
      </c>
    </row>
    <row r="37" spans="1:11">
      <c r="A37">
        <f t="shared" si="1"/>
        <v>2014</v>
      </c>
      <c r="B37" s="21">
        <v>96</v>
      </c>
      <c r="C37" s="21">
        <v>86.88</v>
      </c>
      <c r="D37" s="3">
        <v>1</v>
      </c>
      <c r="E37" s="1">
        <v>0</v>
      </c>
      <c r="F37" s="1">
        <v>0</v>
      </c>
      <c r="G37">
        <v>95</v>
      </c>
      <c r="H37">
        <v>95</v>
      </c>
      <c r="I37">
        <v>96.5</v>
      </c>
      <c r="J37" t="s">
        <v>310</v>
      </c>
      <c r="K37" t="s">
        <v>306</v>
      </c>
    </row>
    <row r="38" spans="1:11">
      <c r="A38">
        <f t="shared" si="1"/>
        <v>2014</v>
      </c>
      <c r="B38" s="21">
        <v>96.2</v>
      </c>
      <c r="C38" s="21">
        <v>84.11</v>
      </c>
      <c r="D38" s="3">
        <v>0</v>
      </c>
      <c r="E38" s="1">
        <v>1</v>
      </c>
      <c r="F38" s="1">
        <v>0</v>
      </c>
      <c r="G38">
        <v>95</v>
      </c>
      <c r="H38">
        <v>95</v>
      </c>
      <c r="I38">
        <v>96.5</v>
      </c>
      <c r="J38" t="s">
        <v>310</v>
      </c>
      <c r="K38" t="s">
        <v>307</v>
      </c>
    </row>
    <row r="39" spans="1:11">
      <c r="A39">
        <f t="shared" si="1"/>
        <v>2014</v>
      </c>
      <c r="B39" s="21">
        <v>94.4</v>
      </c>
      <c r="C39" s="21">
        <v>81.239999999999995</v>
      </c>
      <c r="D39" s="1">
        <v>0</v>
      </c>
      <c r="E39" s="1">
        <v>1</v>
      </c>
      <c r="F39" s="1">
        <v>0</v>
      </c>
      <c r="G39">
        <v>92</v>
      </c>
      <c r="H39">
        <v>93</v>
      </c>
      <c r="I39">
        <v>95.25</v>
      </c>
      <c r="J39" t="s">
        <v>311</v>
      </c>
      <c r="K39" t="s">
        <v>307</v>
      </c>
    </row>
    <row r="40" spans="1:11">
      <c r="A40">
        <f t="shared" si="1"/>
        <v>2014</v>
      </c>
      <c r="B40" s="21">
        <v>96.4</v>
      </c>
      <c r="C40" s="21">
        <v>83.38</v>
      </c>
      <c r="D40" s="1">
        <v>0</v>
      </c>
      <c r="E40" s="1">
        <v>1</v>
      </c>
      <c r="F40" s="1">
        <v>0</v>
      </c>
      <c r="G40">
        <v>95</v>
      </c>
      <c r="H40">
        <v>95</v>
      </c>
      <c r="I40">
        <v>96.5</v>
      </c>
      <c r="J40" t="s">
        <v>310</v>
      </c>
      <c r="K40" t="s">
        <v>307</v>
      </c>
    </row>
    <row r="41" spans="1:11">
      <c r="A41">
        <f t="shared" si="1"/>
        <v>2014</v>
      </c>
      <c r="B41" s="21">
        <v>95.75</v>
      </c>
      <c r="C41" s="21">
        <v>77.16</v>
      </c>
      <c r="D41" s="1">
        <v>0</v>
      </c>
      <c r="E41" s="1">
        <v>1</v>
      </c>
      <c r="F41" s="1">
        <v>0</v>
      </c>
      <c r="G41">
        <v>95</v>
      </c>
      <c r="H41">
        <v>95</v>
      </c>
      <c r="I41">
        <v>96.5</v>
      </c>
      <c r="J41" t="s">
        <v>310</v>
      </c>
      <c r="K41" t="s">
        <v>307</v>
      </c>
    </row>
    <row r="42" spans="1:11">
      <c r="A42">
        <f t="shared" si="1"/>
        <v>2014</v>
      </c>
      <c r="B42" s="21">
        <v>90.4</v>
      </c>
      <c r="C42" s="21">
        <v>71.28</v>
      </c>
      <c r="D42" s="1">
        <v>0</v>
      </c>
      <c r="E42" s="1">
        <v>1</v>
      </c>
      <c r="F42" s="1">
        <v>0</v>
      </c>
      <c r="K42" t="s">
        <v>307</v>
      </c>
    </row>
    <row r="43" spans="1:11">
      <c r="A43">
        <f t="shared" si="1"/>
        <v>2014</v>
      </c>
      <c r="B43" s="21">
        <v>94.8</v>
      </c>
      <c r="C43" s="21">
        <v>74.16</v>
      </c>
      <c r="D43" s="1">
        <v>0</v>
      </c>
      <c r="E43" s="1">
        <v>1</v>
      </c>
      <c r="F43" s="1">
        <v>0</v>
      </c>
      <c r="G43">
        <v>92</v>
      </c>
      <c r="H43">
        <v>93</v>
      </c>
      <c r="I43">
        <v>95.25</v>
      </c>
      <c r="J43" t="s">
        <v>311</v>
      </c>
      <c r="K43" t="s">
        <v>307</v>
      </c>
    </row>
    <row r="44" spans="1:11">
      <c r="A44">
        <f t="shared" si="1"/>
        <v>2014</v>
      </c>
      <c r="B44" s="21">
        <v>93.6</v>
      </c>
      <c r="C44" s="21">
        <v>77.36</v>
      </c>
      <c r="D44" s="1">
        <v>0</v>
      </c>
      <c r="E44" s="1">
        <v>1</v>
      </c>
      <c r="F44" s="1">
        <v>0</v>
      </c>
      <c r="G44">
        <v>92</v>
      </c>
      <c r="H44">
        <v>93</v>
      </c>
      <c r="I44">
        <v>95.25</v>
      </c>
      <c r="J44" t="s">
        <v>311</v>
      </c>
      <c r="K44" t="s">
        <v>307</v>
      </c>
    </row>
    <row r="45" spans="1:11">
      <c r="A45">
        <f t="shared" si="1"/>
        <v>2014</v>
      </c>
      <c r="B45" s="21">
        <v>97.5</v>
      </c>
      <c r="C45" s="21">
        <v>85.46</v>
      </c>
      <c r="D45" s="1">
        <v>0</v>
      </c>
      <c r="E45" s="1">
        <v>0</v>
      </c>
      <c r="F45" s="1">
        <v>1</v>
      </c>
      <c r="G45">
        <v>95</v>
      </c>
      <c r="H45">
        <v>95</v>
      </c>
      <c r="I45">
        <v>96.5</v>
      </c>
      <c r="J45" t="s">
        <v>310</v>
      </c>
      <c r="K45" t="s">
        <v>308</v>
      </c>
    </row>
    <row r="46" spans="1:11">
      <c r="A46">
        <f t="shared" si="1"/>
        <v>2014</v>
      </c>
      <c r="B46" s="21">
        <v>95.25</v>
      </c>
      <c r="C46" s="21">
        <v>72.959999999999994</v>
      </c>
      <c r="D46" s="1">
        <v>0</v>
      </c>
      <c r="E46" s="1">
        <v>0</v>
      </c>
      <c r="F46" s="1">
        <v>1</v>
      </c>
      <c r="G46">
        <v>92</v>
      </c>
      <c r="H46">
        <v>93</v>
      </c>
      <c r="I46">
        <v>95.25</v>
      </c>
      <c r="J46" t="s">
        <v>311</v>
      </c>
      <c r="K46" t="s">
        <v>308</v>
      </c>
    </row>
    <row r="47" spans="1:11">
      <c r="A47">
        <f t="shared" si="1"/>
        <v>2014</v>
      </c>
      <c r="B47" s="21">
        <v>97</v>
      </c>
      <c r="C47" s="21">
        <v>86.48</v>
      </c>
      <c r="D47" s="1">
        <v>0</v>
      </c>
      <c r="E47" s="1">
        <v>0</v>
      </c>
      <c r="F47" s="1">
        <v>1</v>
      </c>
      <c r="G47">
        <v>95</v>
      </c>
      <c r="H47">
        <v>95</v>
      </c>
      <c r="I47">
        <v>96.5</v>
      </c>
      <c r="J47" t="s">
        <v>310</v>
      </c>
      <c r="K47" t="s">
        <v>308</v>
      </c>
    </row>
    <row r="48" spans="1:11">
      <c r="A48">
        <f t="shared" si="1"/>
        <v>2014</v>
      </c>
      <c r="B48" s="21">
        <v>96.6</v>
      </c>
      <c r="C48" s="21">
        <v>85.68</v>
      </c>
      <c r="D48" s="1">
        <v>0</v>
      </c>
      <c r="E48" s="1">
        <v>0</v>
      </c>
      <c r="F48" s="1">
        <v>1</v>
      </c>
      <c r="G48">
        <v>95</v>
      </c>
      <c r="H48">
        <v>95</v>
      </c>
      <c r="I48">
        <v>96.5</v>
      </c>
      <c r="J48" t="s">
        <v>310</v>
      </c>
      <c r="K48" t="s">
        <v>308</v>
      </c>
    </row>
    <row r="49" spans="1:11">
      <c r="A49">
        <f t="shared" si="1"/>
        <v>2014</v>
      </c>
      <c r="B49" s="21">
        <v>97</v>
      </c>
      <c r="C49" s="21">
        <v>84.53</v>
      </c>
      <c r="D49" s="1">
        <v>0</v>
      </c>
      <c r="E49" s="1">
        <v>0</v>
      </c>
      <c r="F49" s="1">
        <v>1</v>
      </c>
      <c r="G49">
        <v>95</v>
      </c>
      <c r="H49">
        <v>95</v>
      </c>
      <c r="I49">
        <v>96.5</v>
      </c>
      <c r="J49" t="s">
        <v>310</v>
      </c>
      <c r="K49" t="s">
        <v>308</v>
      </c>
    </row>
    <row r="50" spans="1:11">
      <c r="A50">
        <f t="shared" si="1"/>
        <v>2014</v>
      </c>
      <c r="B50" s="21">
        <v>96</v>
      </c>
      <c r="C50" s="21">
        <v>76.92</v>
      </c>
      <c r="D50" s="1">
        <v>0</v>
      </c>
      <c r="E50" s="1">
        <v>0</v>
      </c>
      <c r="F50" s="1">
        <v>1</v>
      </c>
      <c r="G50">
        <v>92</v>
      </c>
      <c r="H50">
        <v>93</v>
      </c>
      <c r="I50">
        <v>95.25</v>
      </c>
      <c r="J50" t="s">
        <v>311</v>
      </c>
      <c r="K50" t="s">
        <v>308</v>
      </c>
    </row>
    <row r="51" spans="1:11">
      <c r="A51">
        <f t="shared" si="1"/>
        <v>2014</v>
      </c>
      <c r="B51" s="21">
        <v>98.4</v>
      </c>
      <c r="C51" s="21">
        <v>86.52</v>
      </c>
      <c r="D51" s="1">
        <v>0</v>
      </c>
      <c r="E51" s="1">
        <v>0</v>
      </c>
      <c r="F51" s="1">
        <v>1</v>
      </c>
      <c r="G51">
        <v>97.25</v>
      </c>
      <c r="H51">
        <v>96.75</v>
      </c>
      <c r="I51">
        <v>98.25</v>
      </c>
      <c r="J51" t="s">
        <v>309</v>
      </c>
      <c r="K51" t="s">
        <v>308</v>
      </c>
    </row>
    <row r="52" spans="1:11">
      <c r="A52">
        <f t="shared" si="1"/>
        <v>2014</v>
      </c>
      <c r="B52" s="21">
        <v>97.4</v>
      </c>
      <c r="C52" s="21">
        <v>84.56</v>
      </c>
      <c r="D52" s="1">
        <v>0</v>
      </c>
      <c r="E52" s="1">
        <v>0</v>
      </c>
      <c r="F52" s="1">
        <v>1</v>
      </c>
      <c r="G52">
        <v>95</v>
      </c>
      <c r="H52">
        <v>95</v>
      </c>
      <c r="I52">
        <v>96.5</v>
      </c>
      <c r="J52" t="s">
        <v>310</v>
      </c>
      <c r="K52" t="s">
        <v>308</v>
      </c>
    </row>
    <row r="53" spans="1:11">
      <c r="A53">
        <f t="shared" si="1"/>
        <v>2014</v>
      </c>
      <c r="B53" s="21">
        <v>97.2</v>
      </c>
      <c r="C53" s="21">
        <v>81.2</v>
      </c>
      <c r="D53" s="1">
        <v>0</v>
      </c>
      <c r="E53" s="1">
        <v>0</v>
      </c>
      <c r="F53" s="1">
        <v>1</v>
      </c>
      <c r="G53">
        <v>95</v>
      </c>
      <c r="H53">
        <v>95</v>
      </c>
      <c r="I53">
        <v>96.5</v>
      </c>
      <c r="J53" t="s">
        <v>310</v>
      </c>
      <c r="K53" t="s">
        <v>308</v>
      </c>
    </row>
    <row r="54" spans="1:11">
      <c r="A54">
        <f t="shared" si="1"/>
        <v>2014</v>
      </c>
      <c r="B54" s="21">
        <v>96.8</v>
      </c>
      <c r="C54" s="21">
        <v>88.44</v>
      </c>
      <c r="D54" s="1">
        <v>0</v>
      </c>
      <c r="E54" s="1">
        <v>0</v>
      </c>
      <c r="F54" s="1">
        <v>1</v>
      </c>
      <c r="G54">
        <v>95</v>
      </c>
      <c r="H54">
        <v>95</v>
      </c>
      <c r="I54">
        <v>96.5</v>
      </c>
      <c r="J54" t="s">
        <v>310</v>
      </c>
      <c r="K54" t="s">
        <v>308</v>
      </c>
    </row>
    <row r="55" spans="1:11">
      <c r="A55">
        <f t="shared" si="1"/>
        <v>2014</v>
      </c>
      <c r="B55" s="21">
        <v>97.92</v>
      </c>
      <c r="C55" s="21">
        <v>83.72</v>
      </c>
      <c r="D55" s="1">
        <v>0</v>
      </c>
      <c r="E55" s="1">
        <v>0</v>
      </c>
      <c r="F55" s="1">
        <v>1</v>
      </c>
      <c r="G55">
        <v>95</v>
      </c>
      <c r="H55">
        <v>95</v>
      </c>
      <c r="I55">
        <v>96.5</v>
      </c>
      <c r="J55" t="s">
        <v>310</v>
      </c>
      <c r="K55" t="s">
        <v>308</v>
      </c>
    </row>
    <row r="56" spans="1:11">
      <c r="A56">
        <f t="shared" si="1"/>
        <v>2014</v>
      </c>
      <c r="B56" s="21">
        <v>97</v>
      </c>
      <c r="C56" s="21">
        <v>84.64</v>
      </c>
      <c r="D56" s="1">
        <v>0</v>
      </c>
      <c r="E56" s="1">
        <v>0</v>
      </c>
      <c r="F56" s="1">
        <v>1</v>
      </c>
      <c r="G56">
        <v>95</v>
      </c>
      <c r="H56">
        <v>95</v>
      </c>
      <c r="I56">
        <v>96.5</v>
      </c>
      <c r="J56" t="s">
        <v>310</v>
      </c>
      <c r="K56" t="s">
        <v>308</v>
      </c>
    </row>
    <row r="57" spans="1:11">
      <c r="A57">
        <f t="shared" si="1"/>
        <v>2014</v>
      </c>
      <c r="B57" s="21">
        <v>98.25</v>
      </c>
      <c r="C57" s="21">
        <v>84</v>
      </c>
      <c r="D57" s="1">
        <v>0</v>
      </c>
      <c r="E57" s="1">
        <v>0</v>
      </c>
      <c r="F57" s="1">
        <v>1</v>
      </c>
      <c r="G57">
        <v>97.25</v>
      </c>
      <c r="H57">
        <v>96.75</v>
      </c>
      <c r="I57">
        <v>98.25</v>
      </c>
      <c r="J57" t="s">
        <v>309</v>
      </c>
      <c r="K57" t="s">
        <v>308</v>
      </c>
    </row>
    <row r="58" spans="1:11">
      <c r="A58">
        <f t="shared" si="1"/>
        <v>2014</v>
      </c>
      <c r="B58" s="21">
        <v>95.2</v>
      </c>
      <c r="C58" s="21">
        <v>74.48</v>
      </c>
      <c r="D58" s="1">
        <v>0</v>
      </c>
      <c r="E58" s="1">
        <v>0</v>
      </c>
      <c r="F58" s="1">
        <v>1</v>
      </c>
      <c r="G58">
        <v>90</v>
      </c>
      <c r="H58">
        <v>91.25</v>
      </c>
      <c r="I58">
        <v>90.5</v>
      </c>
      <c r="J58" t="s">
        <v>312</v>
      </c>
      <c r="K58" t="s">
        <v>308</v>
      </c>
    </row>
    <row r="59" spans="1:11">
      <c r="A59">
        <f t="shared" si="1"/>
        <v>2014</v>
      </c>
      <c r="B59" s="21">
        <v>92</v>
      </c>
      <c r="C59" s="21">
        <v>74</v>
      </c>
      <c r="D59" s="1">
        <v>0</v>
      </c>
      <c r="E59" s="1">
        <v>0</v>
      </c>
      <c r="F59" s="1">
        <v>1</v>
      </c>
      <c r="G59">
        <v>90</v>
      </c>
      <c r="H59">
        <v>91.25</v>
      </c>
      <c r="I59">
        <v>90.5</v>
      </c>
      <c r="J59" t="s">
        <v>312</v>
      </c>
      <c r="K59" t="s">
        <v>308</v>
      </c>
    </row>
    <row r="60" spans="1:11">
      <c r="A60">
        <f t="shared" si="1"/>
        <v>2014</v>
      </c>
      <c r="B60" s="21">
        <v>90.2</v>
      </c>
      <c r="C60" s="21">
        <v>60.46</v>
      </c>
      <c r="D60" s="1">
        <v>0</v>
      </c>
      <c r="E60" s="1">
        <v>0</v>
      </c>
      <c r="F60" s="1">
        <v>1</v>
      </c>
      <c r="K60" t="s">
        <v>308</v>
      </c>
    </row>
    <row r="61" spans="1:11">
      <c r="A61">
        <f t="shared" si="1"/>
        <v>2014</v>
      </c>
      <c r="B61" s="21">
        <v>94</v>
      </c>
      <c r="C61" s="21">
        <v>80.88</v>
      </c>
      <c r="D61" s="1">
        <v>0</v>
      </c>
      <c r="E61" s="1">
        <v>0</v>
      </c>
      <c r="F61" s="1">
        <v>1</v>
      </c>
      <c r="G61">
        <v>90</v>
      </c>
      <c r="H61">
        <v>91.25</v>
      </c>
      <c r="I61">
        <v>90.5</v>
      </c>
      <c r="J61" t="s">
        <v>312</v>
      </c>
      <c r="K61" t="s">
        <v>308</v>
      </c>
    </row>
    <row r="62" spans="1:11">
      <c r="A62">
        <f t="shared" si="1"/>
        <v>2014</v>
      </c>
      <c r="B62" s="21">
        <v>96.2</v>
      </c>
      <c r="C62" s="21">
        <v>81.52</v>
      </c>
      <c r="D62" s="1">
        <v>0</v>
      </c>
      <c r="E62" s="1">
        <v>0</v>
      </c>
      <c r="F62" s="1">
        <v>1</v>
      </c>
      <c r="G62">
        <v>92</v>
      </c>
      <c r="H62">
        <v>93</v>
      </c>
      <c r="I62">
        <v>95.25</v>
      </c>
      <c r="J62" t="s">
        <v>311</v>
      </c>
      <c r="K62" t="s">
        <v>308</v>
      </c>
    </row>
    <row r="63" spans="1:11">
      <c r="A63">
        <f t="shared" si="1"/>
        <v>2014</v>
      </c>
      <c r="B63" s="21">
        <v>97</v>
      </c>
      <c r="C63" s="21">
        <v>86.04</v>
      </c>
      <c r="D63" s="1">
        <v>0</v>
      </c>
      <c r="E63" s="1">
        <v>0</v>
      </c>
      <c r="F63" s="1">
        <v>1</v>
      </c>
      <c r="G63">
        <v>95</v>
      </c>
      <c r="H63">
        <v>95</v>
      </c>
      <c r="I63">
        <v>96.5</v>
      </c>
      <c r="J63" t="s">
        <v>310</v>
      </c>
      <c r="K63" t="s">
        <v>308</v>
      </c>
    </row>
    <row r="64" spans="1:11">
      <c r="A64">
        <f t="shared" si="1"/>
        <v>2014</v>
      </c>
      <c r="B64" s="21">
        <v>94.4</v>
      </c>
      <c r="C64" s="21">
        <v>76.36</v>
      </c>
      <c r="D64" s="1">
        <v>0</v>
      </c>
      <c r="E64" s="1">
        <v>0</v>
      </c>
      <c r="F64" s="1">
        <v>1</v>
      </c>
      <c r="G64">
        <v>90</v>
      </c>
      <c r="H64">
        <v>91.25</v>
      </c>
      <c r="I64">
        <v>90.5</v>
      </c>
      <c r="J64" t="s">
        <v>312</v>
      </c>
      <c r="K64" t="s">
        <v>308</v>
      </c>
    </row>
    <row r="65" spans="1:11">
      <c r="A65">
        <f t="shared" si="1"/>
        <v>2014</v>
      </c>
      <c r="B65" s="21">
        <v>97.2</v>
      </c>
      <c r="C65" s="21">
        <v>87.04</v>
      </c>
      <c r="D65" s="1">
        <v>0</v>
      </c>
      <c r="E65" s="1">
        <v>0</v>
      </c>
      <c r="F65" s="1">
        <v>1</v>
      </c>
      <c r="G65">
        <v>95</v>
      </c>
      <c r="H65">
        <v>95</v>
      </c>
      <c r="I65">
        <v>96.5</v>
      </c>
      <c r="J65" t="s">
        <v>310</v>
      </c>
      <c r="K65" t="s">
        <v>308</v>
      </c>
    </row>
    <row r="66" spans="1:11">
      <c r="A66">
        <f t="shared" si="1"/>
        <v>2014</v>
      </c>
      <c r="B66" s="21">
        <v>97.6</v>
      </c>
      <c r="C66" s="21">
        <v>84.72</v>
      </c>
      <c r="D66" s="1">
        <v>0</v>
      </c>
      <c r="E66" s="1">
        <v>0</v>
      </c>
      <c r="F66" s="1">
        <v>1</v>
      </c>
      <c r="G66">
        <v>95</v>
      </c>
      <c r="H66">
        <v>95</v>
      </c>
      <c r="I66">
        <v>96.5</v>
      </c>
      <c r="J66" t="s">
        <v>310</v>
      </c>
      <c r="K66" t="s">
        <v>308</v>
      </c>
    </row>
    <row r="67" spans="1:11">
      <c r="A67">
        <v>2015</v>
      </c>
      <c r="B67" s="24">
        <v>96.2</v>
      </c>
      <c r="C67" s="24">
        <v>85.243500000000012</v>
      </c>
      <c r="D67" s="4">
        <v>1</v>
      </c>
      <c r="E67" s="1">
        <v>0</v>
      </c>
      <c r="F67" s="1">
        <v>0</v>
      </c>
      <c r="G67">
        <v>95</v>
      </c>
      <c r="H67">
        <v>95</v>
      </c>
      <c r="I67">
        <v>95.62</v>
      </c>
      <c r="J67" t="s">
        <v>310</v>
      </c>
      <c r="K67" t="s">
        <v>306</v>
      </c>
    </row>
    <row r="68" spans="1:11">
      <c r="A68">
        <v>2015</v>
      </c>
      <c r="B68" s="24">
        <v>96</v>
      </c>
      <c r="C68" s="24">
        <v>82.46</v>
      </c>
      <c r="D68" s="4">
        <v>1</v>
      </c>
      <c r="E68" s="1">
        <v>0</v>
      </c>
      <c r="F68" s="1">
        <v>0</v>
      </c>
      <c r="G68">
        <v>95</v>
      </c>
      <c r="H68">
        <v>95</v>
      </c>
      <c r="I68">
        <v>95.62</v>
      </c>
      <c r="J68" t="s">
        <v>310</v>
      </c>
      <c r="K68" t="s">
        <v>306</v>
      </c>
    </row>
    <row r="69" spans="1:11">
      <c r="A69">
        <v>2015</v>
      </c>
      <c r="B69" s="24">
        <v>83.6</v>
      </c>
      <c r="C69" s="24">
        <v>48.64</v>
      </c>
      <c r="D69" s="4">
        <v>1</v>
      </c>
      <c r="E69" s="1">
        <v>0</v>
      </c>
      <c r="F69" s="1">
        <v>0</v>
      </c>
      <c r="K69" t="s">
        <v>306</v>
      </c>
    </row>
    <row r="70" spans="1:11">
      <c r="A70">
        <v>2015</v>
      </c>
      <c r="B70" s="24">
        <v>96.6</v>
      </c>
      <c r="C70" s="24">
        <v>82.032499999999999</v>
      </c>
      <c r="D70" s="4">
        <v>1</v>
      </c>
      <c r="E70" s="1">
        <v>0</v>
      </c>
      <c r="F70" s="1">
        <v>0</v>
      </c>
      <c r="G70">
        <v>95</v>
      </c>
      <c r="H70">
        <v>95</v>
      </c>
      <c r="I70">
        <v>95.62</v>
      </c>
      <c r="J70" t="s">
        <v>310</v>
      </c>
      <c r="K70" t="s">
        <v>306</v>
      </c>
    </row>
    <row r="71" spans="1:11">
      <c r="A71">
        <v>2015</v>
      </c>
      <c r="B71" s="24">
        <v>97.2</v>
      </c>
      <c r="C71" s="24">
        <v>72.789000000000001</v>
      </c>
      <c r="D71" s="4">
        <v>1</v>
      </c>
      <c r="E71" s="1">
        <v>0</v>
      </c>
      <c r="F71" s="1">
        <v>0</v>
      </c>
      <c r="G71">
        <v>95</v>
      </c>
      <c r="H71">
        <v>95</v>
      </c>
      <c r="I71">
        <v>95.62</v>
      </c>
      <c r="J71" t="s">
        <v>310</v>
      </c>
      <c r="K71" t="s">
        <v>306</v>
      </c>
    </row>
    <row r="72" spans="1:11">
      <c r="A72">
        <v>2015</v>
      </c>
      <c r="B72" s="24">
        <v>93.2</v>
      </c>
      <c r="C72" s="24">
        <v>69.834500000000006</v>
      </c>
      <c r="D72" s="4">
        <v>1</v>
      </c>
      <c r="E72" s="1">
        <v>0</v>
      </c>
      <c r="F72" s="1">
        <v>0</v>
      </c>
      <c r="G72">
        <v>92</v>
      </c>
      <c r="H72">
        <v>91.5</v>
      </c>
      <c r="I72">
        <v>92.25</v>
      </c>
      <c r="J72" t="s">
        <v>312</v>
      </c>
      <c r="K72" t="s">
        <v>306</v>
      </c>
    </row>
    <row r="73" spans="1:11">
      <c r="A73">
        <v>2015</v>
      </c>
      <c r="B73" s="24">
        <v>97</v>
      </c>
      <c r="C73" s="24">
        <v>79.72399999999999</v>
      </c>
      <c r="D73" s="4">
        <v>1</v>
      </c>
      <c r="E73" s="1">
        <v>0</v>
      </c>
      <c r="F73" s="1">
        <v>0</v>
      </c>
      <c r="G73">
        <v>95</v>
      </c>
      <c r="H73">
        <v>95</v>
      </c>
      <c r="I73">
        <v>95.62</v>
      </c>
      <c r="J73" t="s">
        <v>310</v>
      </c>
      <c r="K73" t="s">
        <v>306</v>
      </c>
    </row>
    <row r="74" spans="1:11">
      <c r="A74">
        <v>2015</v>
      </c>
      <c r="B74" s="24">
        <v>89</v>
      </c>
      <c r="C74" s="24">
        <v>61.274999999999999</v>
      </c>
      <c r="D74" s="4">
        <v>1</v>
      </c>
      <c r="E74" s="1">
        <v>0</v>
      </c>
      <c r="F74" s="1">
        <v>0</v>
      </c>
      <c r="K74" t="s">
        <v>306</v>
      </c>
    </row>
    <row r="75" spans="1:11">
      <c r="A75">
        <v>2015</v>
      </c>
      <c r="B75" s="24">
        <v>94.2</v>
      </c>
      <c r="C75" s="24">
        <v>71.44</v>
      </c>
      <c r="D75" s="4">
        <v>1</v>
      </c>
      <c r="E75" s="1">
        <v>0</v>
      </c>
      <c r="F75" s="1">
        <v>0</v>
      </c>
      <c r="G75">
        <v>94</v>
      </c>
      <c r="H75">
        <v>93</v>
      </c>
      <c r="I75">
        <v>94.32</v>
      </c>
      <c r="J75" t="s">
        <v>311</v>
      </c>
      <c r="K75" t="s">
        <v>306</v>
      </c>
    </row>
    <row r="76" spans="1:11">
      <c r="A76">
        <v>2015</v>
      </c>
      <c r="B76" s="24">
        <v>93</v>
      </c>
      <c r="C76" s="24">
        <v>72.39</v>
      </c>
      <c r="D76" s="4">
        <v>1</v>
      </c>
      <c r="E76" s="1">
        <v>0</v>
      </c>
      <c r="F76" s="1">
        <v>0</v>
      </c>
      <c r="G76">
        <v>92</v>
      </c>
      <c r="H76">
        <v>91.5</v>
      </c>
      <c r="I76">
        <v>92.25</v>
      </c>
      <c r="J76" t="s">
        <v>312</v>
      </c>
      <c r="K76" t="s">
        <v>306</v>
      </c>
    </row>
    <row r="77" spans="1:11">
      <c r="A77">
        <v>2015</v>
      </c>
      <c r="B77" s="24">
        <v>94.4</v>
      </c>
      <c r="C77" s="24">
        <v>80.274999999999991</v>
      </c>
      <c r="D77" s="4">
        <v>1</v>
      </c>
      <c r="E77" s="1">
        <v>0</v>
      </c>
      <c r="F77" s="1">
        <v>0</v>
      </c>
      <c r="G77">
        <v>94</v>
      </c>
      <c r="H77">
        <v>93</v>
      </c>
      <c r="I77">
        <v>94.32</v>
      </c>
      <c r="J77" t="s">
        <v>311</v>
      </c>
      <c r="K77" t="s">
        <v>306</v>
      </c>
    </row>
    <row r="78" spans="1:11">
      <c r="A78">
        <v>2015</v>
      </c>
      <c r="B78" s="24">
        <v>0.96599999999999997</v>
      </c>
      <c r="C78" s="24">
        <v>85.024999999999991</v>
      </c>
      <c r="D78" s="1">
        <v>0</v>
      </c>
      <c r="E78" s="1">
        <v>1</v>
      </c>
      <c r="F78" s="1">
        <v>0</v>
      </c>
      <c r="K78" t="s">
        <v>307</v>
      </c>
    </row>
    <row r="79" spans="1:11">
      <c r="A79">
        <v>2015</v>
      </c>
      <c r="B79" s="24" t="s">
        <v>108</v>
      </c>
      <c r="C79" s="24">
        <v>86.013000000000005</v>
      </c>
      <c r="D79" s="1">
        <v>0</v>
      </c>
      <c r="E79" s="1">
        <v>1</v>
      </c>
      <c r="F79" s="1">
        <v>0</v>
      </c>
      <c r="G79">
        <v>97.5</v>
      </c>
      <c r="H79">
        <v>97.5</v>
      </c>
      <c r="I79">
        <v>97.75</v>
      </c>
      <c r="J79" t="s">
        <v>309</v>
      </c>
      <c r="K79" t="s">
        <v>307</v>
      </c>
    </row>
    <row r="80" spans="1:11">
      <c r="A80">
        <v>2015</v>
      </c>
      <c r="B80" s="24">
        <v>96.2</v>
      </c>
      <c r="C80" s="24">
        <v>83.79</v>
      </c>
      <c r="D80" s="1">
        <v>0</v>
      </c>
      <c r="E80" s="1">
        <v>1</v>
      </c>
      <c r="F80" s="1">
        <v>0</v>
      </c>
      <c r="G80">
        <v>95</v>
      </c>
      <c r="H80">
        <v>95</v>
      </c>
      <c r="I80">
        <v>95.62</v>
      </c>
      <c r="J80" t="s">
        <v>310</v>
      </c>
      <c r="K80" t="s">
        <v>307</v>
      </c>
    </row>
    <row r="81" spans="1:11">
      <c r="A81">
        <v>2015</v>
      </c>
      <c r="B81" s="24">
        <v>92.6</v>
      </c>
      <c r="C81" s="24">
        <v>74.954999999999998</v>
      </c>
      <c r="D81" s="1">
        <v>0</v>
      </c>
      <c r="E81" s="1">
        <v>1</v>
      </c>
      <c r="F81" s="1">
        <v>0</v>
      </c>
      <c r="G81">
        <v>92</v>
      </c>
      <c r="H81">
        <v>91.5</v>
      </c>
      <c r="I81">
        <v>92.25</v>
      </c>
      <c r="J81" t="s">
        <v>312</v>
      </c>
      <c r="K81" t="s">
        <v>307</v>
      </c>
    </row>
    <row r="82" spans="1:11">
      <c r="A82">
        <v>2015</v>
      </c>
      <c r="B82" s="24">
        <v>92</v>
      </c>
      <c r="C82" s="24">
        <v>67.013000000000005</v>
      </c>
      <c r="D82" s="1">
        <v>0</v>
      </c>
      <c r="E82" s="1">
        <v>1</v>
      </c>
      <c r="F82" s="1">
        <v>0</v>
      </c>
      <c r="G82">
        <v>92</v>
      </c>
      <c r="H82">
        <v>91.5</v>
      </c>
      <c r="I82">
        <v>92.25</v>
      </c>
      <c r="J82" t="s">
        <v>312</v>
      </c>
      <c r="K82" t="s">
        <v>307</v>
      </c>
    </row>
    <row r="83" spans="1:11">
      <c r="A83">
        <v>2015</v>
      </c>
      <c r="B83" s="24">
        <v>96.6</v>
      </c>
      <c r="C83" s="24">
        <v>83.68</v>
      </c>
      <c r="D83" s="1">
        <v>0</v>
      </c>
      <c r="E83" s="1">
        <v>1</v>
      </c>
      <c r="F83" s="1">
        <v>0</v>
      </c>
      <c r="G83">
        <v>95</v>
      </c>
      <c r="H83">
        <v>95</v>
      </c>
      <c r="I83">
        <v>95.62</v>
      </c>
      <c r="J83" t="s">
        <v>310</v>
      </c>
      <c r="K83" t="s">
        <v>307</v>
      </c>
    </row>
    <row r="84" spans="1:11">
      <c r="A84">
        <v>2015</v>
      </c>
      <c r="B84" s="24">
        <v>0.9425</v>
      </c>
      <c r="C84" s="24">
        <v>74.67</v>
      </c>
      <c r="D84" s="1">
        <v>0</v>
      </c>
      <c r="E84" s="1">
        <v>1</v>
      </c>
      <c r="F84" s="1">
        <v>0</v>
      </c>
      <c r="K84" t="s">
        <v>307</v>
      </c>
    </row>
    <row r="85" spans="1:11">
      <c r="A85">
        <v>2015</v>
      </c>
      <c r="B85" s="24">
        <v>95</v>
      </c>
      <c r="C85" s="24">
        <v>85.632999999999996</v>
      </c>
      <c r="D85" s="1">
        <v>0</v>
      </c>
      <c r="E85" s="1">
        <v>1</v>
      </c>
      <c r="F85" s="1">
        <v>0</v>
      </c>
      <c r="G85">
        <v>95</v>
      </c>
      <c r="H85">
        <v>95</v>
      </c>
      <c r="I85">
        <v>95.62</v>
      </c>
      <c r="J85" t="s">
        <v>310</v>
      </c>
      <c r="K85" t="s">
        <v>307</v>
      </c>
    </row>
    <row r="86" spans="1:11">
      <c r="A86">
        <v>2015</v>
      </c>
      <c r="B86" s="24">
        <v>89.4</v>
      </c>
      <c r="C86" s="24">
        <v>72.67</v>
      </c>
      <c r="D86" s="1">
        <v>0</v>
      </c>
      <c r="E86" s="1">
        <v>1</v>
      </c>
      <c r="F86" s="1">
        <v>0</v>
      </c>
      <c r="K86" t="s">
        <v>307</v>
      </c>
    </row>
    <row r="87" spans="1:11">
      <c r="A87">
        <v>2015</v>
      </c>
      <c r="B87" s="24">
        <v>96.2</v>
      </c>
      <c r="C87" s="24">
        <v>79.078000000000003</v>
      </c>
      <c r="D87" s="1">
        <v>0</v>
      </c>
      <c r="E87" s="1">
        <v>1</v>
      </c>
      <c r="F87" s="1">
        <v>0</v>
      </c>
      <c r="G87">
        <v>95</v>
      </c>
      <c r="H87">
        <v>95</v>
      </c>
      <c r="I87">
        <v>95.62</v>
      </c>
      <c r="J87" t="s">
        <v>310</v>
      </c>
      <c r="K87" t="s">
        <v>307</v>
      </c>
    </row>
    <row r="88" spans="1:11">
      <c r="A88">
        <v>2015</v>
      </c>
      <c r="B88" s="24">
        <v>95</v>
      </c>
      <c r="C88" s="24">
        <v>88.967500000000001</v>
      </c>
      <c r="D88" s="1">
        <v>0</v>
      </c>
      <c r="E88" s="1">
        <v>1</v>
      </c>
      <c r="F88" s="1">
        <v>0</v>
      </c>
      <c r="G88">
        <v>95</v>
      </c>
      <c r="H88">
        <v>95</v>
      </c>
      <c r="I88">
        <v>95.62</v>
      </c>
      <c r="J88" t="s">
        <v>310</v>
      </c>
      <c r="K88" t="s">
        <v>307</v>
      </c>
    </row>
    <row r="89" spans="1:11">
      <c r="A89">
        <v>2015</v>
      </c>
      <c r="B89" s="24">
        <v>90</v>
      </c>
      <c r="C89" s="24">
        <v>77.804999999999993</v>
      </c>
      <c r="D89" s="1">
        <v>0</v>
      </c>
      <c r="E89" s="1">
        <v>1</v>
      </c>
      <c r="F89" s="1">
        <v>0</v>
      </c>
      <c r="K89" t="s">
        <v>307</v>
      </c>
    </row>
    <row r="90" spans="1:11">
      <c r="A90">
        <v>2015</v>
      </c>
      <c r="B90" s="24">
        <v>96.2</v>
      </c>
      <c r="C90" s="24">
        <v>84.986999999999995</v>
      </c>
      <c r="D90" s="1">
        <v>0</v>
      </c>
      <c r="E90" s="1">
        <v>1</v>
      </c>
      <c r="F90" s="1">
        <v>0</v>
      </c>
      <c r="G90">
        <v>95</v>
      </c>
      <c r="H90">
        <v>95</v>
      </c>
      <c r="I90">
        <v>95.62</v>
      </c>
      <c r="J90" t="s">
        <v>310</v>
      </c>
      <c r="K90" t="s">
        <v>307</v>
      </c>
    </row>
    <row r="91" spans="1:11">
      <c r="A91">
        <v>2015</v>
      </c>
      <c r="B91" s="24">
        <v>93</v>
      </c>
      <c r="C91" s="24">
        <v>68.685000000000002</v>
      </c>
      <c r="D91" s="1">
        <v>0</v>
      </c>
      <c r="E91" s="1">
        <v>0</v>
      </c>
      <c r="F91" s="1">
        <v>1</v>
      </c>
      <c r="G91">
        <v>92</v>
      </c>
      <c r="H91">
        <v>91.5</v>
      </c>
      <c r="I91">
        <v>92.25</v>
      </c>
      <c r="J91" t="s">
        <v>312</v>
      </c>
      <c r="K91" t="s">
        <v>308</v>
      </c>
    </row>
    <row r="92" spans="1:11">
      <c r="A92">
        <v>2015</v>
      </c>
      <c r="B92" s="24">
        <v>96.6</v>
      </c>
      <c r="C92" s="24">
        <v>85.756499999999988</v>
      </c>
      <c r="D92" s="1">
        <v>0</v>
      </c>
      <c r="E92" s="1">
        <v>0</v>
      </c>
      <c r="F92" s="1">
        <v>1</v>
      </c>
      <c r="G92">
        <v>95</v>
      </c>
      <c r="H92">
        <v>95</v>
      </c>
      <c r="I92">
        <v>95.62</v>
      </c>
      <c r="J92" t="s">
        <v>310</v>
      </c>
      <c r="K92" t="s">
        <v>308</v>
      </c>
    </row>
    <row r="93" spans="1:11">
      <c r="A93">
        <v>2015</v>
      </c>
      <c r="B93" s="24">
        <v>96.8</v>
      </c>
      <c r="C93" s="24">
        <v>85.632999999999996</v>
      </c>
      <c r="D93" s="1">
        <v>0</v>
      </c>
      <c r="E93" s="1">
        <v>0</v>
      </c>
      <c r="F93" s="1">
        <v>1</v>
      </c>
      <c r="G93">
        <v>95</v>
      </c>
      <c r="H93">
        <v>95</v>
      </c>
      <c r="I93">
        <v>95.62</v>
      </c>
      <c r="J93" t="s">
        <v>310</v>
      </c>
      <c r="K93" t="s">
        <v>308</v>
      </c>
    </row>
    <row r="94" spans="1:11">
      <c r="A94">
        <v>2015</v>
      </c>
      <c r="B94" s="24">
        <v>94.2</v>
      </c>
      <c r="C94" s="24">
        <v>78.945000000000007</v>
      </c>
      <c r="D94" s="1">
        <v>0</v>
      </c>
      <c r="E94" s="1">
        <v>0</v>
      </c>
      <c r="F94" s="1">
        <v>1</v>
      </c>
      <c r="G94">
        <v>92</v>
      </c>
      <c r="H94">
        <v>91.5</v>
      </c>
      <c r="I94">
        <v>92.25</v>
      </c>
      <c r="J94" t="s">
        <v>312</v>
      </c>
      <c r="K94" t="s">
        <v>308</v>
      </c>
    </row>
    <row r="95" spans="1:11">
      <c r="A95">
        <v>2015</v>
      </c>
      <c r="B95" s="24">
        <v>97</v>
      </c>
      <c r="C95" s="24">
        <v>86.782499999999999</v>
      </c>
      <c r="D95" s="1">
        <v>0</v>
      </c>
      <c r="E95" s="1">
        <v>0</v>
      </c>
      <c r="F95" s="1">
        <v>1</v>
      </c>
      <c r="G95">
        <v>95</v>
      </c>
      <c r="H95">
        <v>95</v>
      </c>
      <c r="I95">
        <v>95.62</v>
      </c>
      <c r="J95" t="s">
        <v>310</v>
      </c>
      <c r="K95" t="s">
        <v>308</v>
      </c>
    </row>
    <row r="96" spans="1:11">
      <c r="A96">
        <v>2015</v>
      </c>
      <c r="B96" s="24">
        <v>92.4</v>
      </c>
      <c r="C96" s="24">
        <v>62.415000000000006</v>
      </c>
      <c r="D96" s="1">
        <v>0</v>
      </c>
      <c r="E96" s="1">
        <v>0</v>
      </c>
      <c r="F96" s="1">
        <v>1</v>
      </c>
      <c r="G96">
        <v>92</v>
      </c>
      <c r="H96">
        <v>91.5</v>
      </c>
      <c r="I96">
        <v>92.25</v>
      </c>
      <c r="J96" t="s">
        <v>312</v>
      </c>
      <c r="K96" t="s">
        <v>308</v>
      </c>
    </row>
    <row r="97" spans="1:11">
      <c r="A97">
        <v>2015</v>
      </c>
      <c r="B97" s="24">
        <v>81.8</v>
      </c>
      <c r="C97" s="24">
        <v>72.959999999999994</v>
      </c>
      <c r="D97" s="1">
        <v>0</v>
      </c>
      <c r="E97" s="1">
        <v>0</v>
      </c>
      <c r="F97" s="1">
        <v>1</v>
      </c>
      <c r="K97" t="s">
        <v>308</v>
      </c>
    </row>
    <row r="98" spans="1:11">
      <c r="A98">
        <v>2015</v>
      </c>
      <c r="B98" s="24">
        <v>93.2</v>
      </c>
      <c r="C98" s="24">
        <v>74.954999999999998</v>
      </c>
      <c r="D98" s="1">
        <v>0</v>
      </c>
      <c r="E98" s="1">
        <v>0</v>
      </c>
      <c r="F98" s="1">
        <v>1</v>
      </c>
      <c r="G98">
        <v>92</v>
      </c>
      <c r="H98">
        <v>91.5</v>
      </c>
      <c r="I98">
        <v>92.25</v>
      </c>
      <c r="J98" t="s">
        <v>312</v>
      </c>
      <c r="K98" t="s">
        <v>308</v>
      </c>
    </row>
    <row r="99" spans="1:11">
      <c r="A99">
        <v>2015</v>
      </c>
      <c r="B99" s="24">
        <v>95.4</v>
      </c>
      <c r="C99" s="24">
        <v>76.665000000000006</v>
      </c>
      <c r="D99" s="1">
        <v>0</v>
      </c>
      <c r="E99" s="1">
        <v>0</v>
      </c>
      <c r="F99" s="1">
        <v>1</v>
      </c>
      <c r="G99">
        <v>94</v>
      </c>
      <c r="H99">
        <v>93</v>
      </c>
      <c r="I99">
        <v>94.32</v>
      </c>
      <c r="J99" t="s">
        <v>311</v>
      </c>
      <c r="K99" t="s">
        <v>308</v>
      </c>
    </row>
    <row r="100" spans="1:11">
      <c r="A100">
        <v>2015</v>
      </c>
      <c r="B100" s="24">
        <v>98.2</v>
      </c>
      <c r="C100" s="24">
        <v>89.347499999999997</v>
      </c>
      <c r="D100" s="1">
        <v>0</v>
      </c>
      <c r="E100" s="1">
        <v>0</v>
      </c>
      <c r="F100" s="1">
        <v>1</v>
      </c>
      <c r="G100">
        <v>97.5</v>
      </c>
      <c r="H100">
        <v>97.5</v>
      </c>
      <c r="I100">
        <v>97.75</v>
      </c>
      <c r="J100" t="s">
        <v>309</v>
      </c>
      <c r="K100" t="s">
        <v>308</v>
      </c>
    </row>
    <row r="101" spans="1:11">
      <c r="A101">
        <v>2015</v>
      </c>
      <c r="B101" s="24">
        <v>94.4</v>
      </c>
      <c r="C101" s="24">
        <v>67.355000000000004</v>
      </c>
      <c r="D101" s="1">
        <v>0</v>
      </c>
      <c r="E101" s="1">
        <v>0</v>
      </c>
      <c r="F101" s="1">
        <v>1</v>
      </c>
      <c r="G101">
        <v>94</v>
      </c>
      <c r="H101">
        <v>93</v>
      </c>
      <c r="I101">
        <v>94.32</v>
      </c>
      <c r="J101" t="s">
        <v>311</v>
      </c>
      <c r="K101" t="s">
        <v>308</v>
      </c>
    </row>
    <row r="102" spans="1:11">
      <c r="A102">
        <v>2015</v>
      </c>
      <c r="B102" s="24">
        <v>96.4</v>
      </c>
      <c r="C102" s="24">
        <v>79.847499999999997</v>
      </c>
      <c r="D102" s="1">
        <v>0</v>
      </c>
      <c r="E102" s="1">
        <v>0</v>
      </c>
      <c r="F102" s="1">
        <v>1</v>
      </c>
      <c r="G102">
        <v>95</v>
      </c>
      <c r="H102">
        <v>95</v>
      </c>
      <c r="I102">
        <v>95.62</v>
      </c>
      <c r="J102" t="s">
        <v>310</v>
      </c>
      <c r="K102" t="s">
        <v>308</v>
      </c>
    </row>
    <row r="103" spans="1:11">
      <c r="A103">
        <v>2015</v>
      </c>
      <c r="B103" s="24">
        <v>96</v>
      </c>
      <c r="C103" s="24">
        <v>82.554999999999993</v>
      </c>
      <c r="D103" s="1">
        <v>0</v>
      </c>
      <c r="E103" s="1">
        <v>0</v>
      </c>
      <c r="F103" s="1">
        <v>1</v>
      </c>
      <c r="G103">
        <v>95</v>
      </c>
      <c r="H103">
        <v>95</v>
      </c>
      <c r="I103">
        <v>95.62</v>
      </c>
      <c r="J103" t="s">
        <v>310</v>
      </c>
      <c r="K103" t="s">
        <v>308</v>
      </c>
    </row>
    <row r="104" spans="1:11">
      <c r="A104">
        <v>2016</v>
      </c>
      <c r="B104" s="22">
        <v>95.4</v>
      </c>
      <c r="C104" s="22">
        <v>76.389499999999998</v>
      </c>
      <c r="D104">
        <v>1</v>
      </c>
      <c r="E104" s="1">
        <v>0</v>
      </c>
      <c r="F104" s="1">
        <v>0</v>
      </c>
      <c r="G104">
        <v>93</v>
      </c>
      <c r="H104">
        <v>92.25</v>
      </c>
      <c r="I104">
        <v>94.25</v>
      </c>
      <c r="J104" t="s">
        <v>310</v>
      </c>
      <c r="K104" t="s">
        <v>306</v>
      </c>
    </row>
    <row r="105" spans="1:11">
      <c r="A105">
        <v>2016</v>
      </c>
      <c r="B105" s="22">
        <v>96.2</v>
      </c>
      <c r="C105" s="22">
        <v>85.243500000000012</v>
      </c>
      <c r="D105">
        <v>1</v>
      </c>
      <c r="E105" s="1">
        <v>0</v>
      </c>
      <c r="F105" s="1">
        <v>0</v>
      </c>
      <c r="G105">
        <v>93</v>
      </c>
      <c r="H105">
        <v>92.25</v>
      </c>
      <c r="I105">
        <v>94.25</v>
      </c>
      <c r="J105" t="s">
        <v>310</v>
      </c>
      <c r="K105" t="s">
        <v>306</v>
      </c>
    </row>
    <row r="106" spans="1:11">
      <c r="A106">
        <v>2016</v>
      </c>
      <c r="B106" s="22">
        <v>96</v>
      </c>
      <c r="C106" s="22">
        <v>82.46</v>
      </c>
      <c r="D106">
        <v>1</v>
      </c>
      <c r="E106" s="1">
        <v>0</v>
      </c>
      <c r="F106" s="1">
        <v>0</v>
      </c>
      <c r="G106">
        <v>93</v>
      </c>
      <c r="H106">
        <v>92.25</v>
      </c>
      <c r="I106">
        <v>94.25</v>
      </c>
      <c r="J106" t="s">
        <v>310</v>
      </c>
      <c r="K106" t="s">
        <v>306</v>
      </c>
    </row>
    <row r="107" spans="1:11">
      <c r="A107">
        <v>2016</v>
      </c>
      <c r="B107" s="22">
        <v>93.2</v>
      </c>
      <c r="C107" s="22">
        <v>69.834500000000006</v>
      </c>
      <c r="D107" s="17">
        <v>1</v>
      </c>
      <c r="E107" s="1">
        <v>0</v>
      </c>
      <c r="F107" s="1">
        <v>0</v>
      </c>
      <c r="G107">
        <v>93</v>
      </c>
      <c r="H107">
        <v>92.25</v>
      </c>
      <c r="I107">
        <v>94.25</v>
      </c>
      <c r="J107" t="s">
        <v>310</v>
      </c>
      <c r="K107" t="s">
        <v>306</v>
      </c>
    </row>
    <row r="108" spans="1:11">
      <c r="A108">
        <v>2016</v>
      </c>
      <c r="B108" s="22">
        <v>93</v>
      </c>
      <c r="C108" s="22">
        <v>72.39</v>
      </c>
      <c r="D108" s="17">
        <v>1</v>
      </c>
      <c r="E108" s="1">
        <v>0</v>
      </c>
      <c r="F108" s="1">
        <v>0</v>
      </c>
      <c r="G108">
        <v>93</v>
      </c>
      <c r="H108">
        <v>92.25</v>
      </c>
      <c r="I108">
        <v>94.25</v>
      </c>
      <c r="J108" t="s">
        <v>310</v>
      </c>
      <c r="K108" t="s">
        <v>306</v>
      </c>
    </row>
    <row r="109" spans="1:11">
      <c r="A109">
        <v>2016</v>
      </c>
      <c r="B109" s="22">
        <v>97.2</v>
      </c>
      <c r="C109" s="22">
        <v>72.789000000000001</v>
      </c>
      <c r="D109" s="17">
        <v>1</v>
      </c>
      <c r="E109" s="1">
        <v>0</v>
      </c>
      <c r="F109" s="1">
        <v>0</v>
      </c>
      <c r="G109">
        <v>96.25</v>
      </c>
      <c r="H109">
        <v>96.5</v>
      </c>
      <c r="I109">
        <v>97.25</v>
      </c>
      <c r="J109" t="s">
        <v>309</v>
      </c>
      <c r="K109" t="s">
        <v>306</v>
      </c>
    </row>
    <row r="110" spans="1:11">
      <c r="A110">
        <v>2016</v>
      </c>
      <c r="B110" s="22">
        <v>94.2</v>
      </c>
      <c r="C110" s="22">
        <v>71.819999999999993</v>
      </c>
      <c r="D110" s="17">
        <v>1</v>
      </c>
      <c r="E110" s="1">
        <v>0</v>
      </c>
      <c r="F110" s="1">
        <v>0</v>
      </c>
      <c r="G110">
        <v>93</v>
      </c>
      <c r="H110">
        <v>92.25</v>
      </c>
      <c r="I110">
        <v>94.25</v>
      </c>
      <c r="J110" t="s">
        <v>310</v>
      </c>
      <c r="K110" t="s">
        <v>306</v>
      </c>
    </row>
    <row r="111" spans="1:11">
      <c r="A111">
        <v>2016</v>
      </c>
      <c r="B111" s="22">
        <v>96.6</v>
      </c>
      <c r="C111" s="22">
        <v>82.032499999999999</v>
      </c>
      <c r="D111" s="17">
        <v>1</v>
      </c>
      <c r="E111" s="1">
        <v>0</v>
      </c>
      <c r="F111" s="1">
        <v>0</v>
      </c>
      <c r="G111">
        <v>96.25</v>
      </c>
      <c r="H111">
        <v>96.5</v>
      </c>
      <c r="I111">
        <v>97.25</v>
      </c>
      <c r="J111" t="s">
        <v>309</v>
      </c>
      <c r="K111" t="s">
        <v>306</v>
      </c>
    </row>
    <row r="112" spans="1:11">
      <c r="A112">
        <v>2016</v>
      </c>
      <c r="B112" s="22">
        <v>89</v>
      </c>
      <c r="C112" s="22">
        <v>61.360499999999995</v>
      </c>
      <c r="D112" s="17">
        <v>1</v>
      </c>
      <c r="E112" s="1">
        <v>0</v>
      </c>
      <c r="F112" s="1">
        <v>0</v>
      </c>
      <c r="G112">
        <v>84</v>
      </c>
      <c r="H112">
        <v>86</v>
      </c>
      <c r="I112">
        <v>93.25</v>
      </c>
      <c r="J112" t="s">
        <v>311</v>
      </c>
      <c r="K112" t="s">
        <v>306</v>
      </c>
    </row>
    <row r="113" spans="1:11">
      <c r="A113">
        <v>2016</v>
      </c>
      <c r="B113" s="22">
        <v>97</v>
      </c>
      <c r="C113" s="22">
        <v>79.705000000000013</v>
      </c>
      <c r="D113" s="17">
        <v>1</v>
      </c>
      <c r="E113" s="1">
        <v>0</v>
      </c>
      <c r="F113" s="1">
        <v>0</v>
      </c>
      <c r="G113">
        <v>96.25</v>
      </c>
      <c r="H113">
        <v>96.5</v>
      </c>
      <c r="I113">
        <v>97.25</v>
      </c>
      <c r="J113" t="s">
        <v>309</v>
      </c>
      <c r="K113" t="s">
        <v>306</v>
      </c>
    </row>
    <row r="114" spans="1:11">
      <c r="A114">
        <v>2016</v>
      </c>
      <c r="B114" s="22">
        <v>94.4</v>
      </c>
      <c r="C114" s="22">
        <v>80.36</v>
      </c>
      <c r="D114" s="17">
        <v>1</v>
      </c>
      <c r="E114" s="1">
        <v>0</v>
      </c>
      <c r="F114" s="1">
        <v>0</v>
      </c>
      <c r="G114">
        <v>93</v>
      </c>
      <c r="H114">
        <v>92.25</v>
      </c>
      <c r="I114">
        <v>94.25</v>
      </c>
      <c r="J114" t="s">
        <v>310</v>
      </c>
      <c r="K114" t="s">
        <v>306</v>
      </c>
    </row>
    <row r="115" spans="1:11">
      <c r="A115">
        <v>2016</v>
      </c>
      <c r="B115" s="22">
        <v>80.83</v>
      </c>
      <c r="C115" s="22">
        <v>48.64</v>
      </c>
      <c r="D115" s="18">
        <v>1</v>
      </c>
      <c r="E115" s="1">
        <v>0</v>
      </c>
      <c r="F115" s="1">
        <v>0</v>
      </c>
      <c r="G115">
        <v>74</v>
      </c>
      <c r="H115">
        <v>79</v>
      </c>
      <c r="I115">
        <v>75</v>
      </c>
      <c r="J115" t="s">
        <v>312</v>
      </c>
      <c r="K115" t="s">
        <v>306</v>
      </c>
    </row>
    <row r="116" spans="1:11">
      <c r="A116">
        <v>2016</v>
      </c>
      <c r="B116" s="22">
        <v>81.2</v>
      </c>
      <c r="C116" s="22">
        <v>51.48</v>
      </c>
      <c r="D116" s="18">
        <v>1</v>
      </c>
      <c r="E116" s="1">
        <v>0</v>
      </c>
      <c r="F116" s="1">
        <v>0</v>
      </c>
      <c r="G116">
        <v>74</v>
      </c>
      <c r="H116">
        <v>79</v>
      </c>
      <c r="I116">
        <v>75</v>
      </c>
      <c r="J116" t="s">
        <v>312</v>
      </c>
      <c r="K116" t="s">
        <v>306</v>
      </c>
    </row>
    <row r="117" spans="1:11">
      <c r="A117">
        <v>2016</v>
      </c>
      <c r="B117" s="22">
        <v>91.75</v>
      </c>
      <c r="C117" s="22">
        <v>57.769500000000001</v>
      </c>
      <c r="D117" s="19">
        <v>1</v>
      </c>
      <c r="E117" s="1">
        <v>0</v>
      </c>
      <c r="F117" s="1">
        <v>0</v>
      </c>
      <c r="G117">
        <v>84</v>
      </c>
      <c r="H117">
        <v>86</v>
      </c>
      <c r="I117">
        <v>93.25</v>
      </c>
      <c r="J117" t="s">
        <v>311</v>
      </c>
      <c r="K117" t="s">
        <v>306</v>
      </c>
    </row>
    <row r="118" spans="1:11">
      <c r="A118">
        <v>2016</v>
      </c>
      <c r="B118" s="22">
        <v>90</v>
      </c>
      <c r="C118" s="22">
        <v>77.709999999999994</v>
      </c>
      <c r="D118" s="1">
        <v>0</v>
      </c>
      <c r="E118" s="1">
        <v>1</v>
      </c>
      <c r="F118" s="1">
        <v>0</v>
      </c>
      <c r="G118">
        <v>84</v>
      </c>
      <c r="H118">
        <v>86</v>
      </c>
      <c r="I118">
        <v>93.25</v>
      </c>
      <c r="J118" t="s">
        <v>311</v>
      </c>
      <c r="K118" t="s">
        <v>307</v>
      </c>
    </row>
    <row r="119" spans="1:11">
      <c r="A119">
        <v>2016</v>
      </c>
      <c r="B119" s="22">
        <v>96.2</v>
      </c>
      <c r="C119" s="22">
        <v>83.79</v>
      </c>
      <c r="D119" s="1">
        <v>0</v>
      </c>
      <c r="E119" s="1">
        <v>1</v>
      </c>
      <c r="F119" s="1">
        <v>0</v>
      </c>
      <c r="G119">
        <v>93</v>
      </c>
      <c r="H119">
        <v>92.25</v>
      </c>
      <c r="I119">
        <v>94.25</v>
      </c>
      <c r="J119" t="s">
        <v>310</v>
      </c>
      <c r="K119" t="s">
        <v>307</v>
      </c>
    </row>
    <row r="120" spans="1:11">
      <c r="A120">
        <v>2016</v>
      </c>
      <c r="B120" s="22">
        <v>96.2</v>
      </c>
      <c r="C120" s="22">
        <v>84.986999999999995</v>
      </c>
      <c r="D120" s="1">
        <v>0</v>
      </c>
      <c r="E120" s="1">
        <v>1</v>
      </c>
      <c r="F120" s="1">
        <v>0</v>
      </c>
      <c r="G120">
        <v>93</v>
      </c>
      <c r="H120">
        <v>92.25</v>
      </c>
      <c r="I120">
        <v>94.25</v>
      </c>
      <c r="J120" t="s">
        <v>310</v>
      </c>
      <c r="K120" t="s">
        <v>307</v>
      </c>
    </row>
    <row r="121" spans="1:11">
      <c r="A121">
        <v>2016</v>
      </c>
      <c r="B121" s="22">
        <v>96.6</v>
      </c>
      <c r="C121" s="22">
        <v>83.68</v>
      </c>
      <c r="D121" s="1">
        <v>0</v>
      </c>
      <c r="E121" s="1">
        <v>1</v>
      </c>
      <c r="F121" s="1">
        <v>0</v>
      </c>
      <c r="G121">
        <v>96.25</v>
      </c>
      <c r="H121">
        <v>96.5</v>
      </c>
      <c r="I121">
        <v>97.25</v>
      </c>
      <c r="J121" t="s">
        <v>309</v>
      </c>
      <c r="K121" t="s">
        <v>307</v>
      </c>
    </row>
    <row r="122" spans="1:11">
      <c r="A122">
        <v>2016</v>
      </c>
      <c r="B122" s="22">
        <v>92.6</v>
      </c>
      <c r="C122" s="22">
        <v>74.974000000000004</v>
      </c>
      <c r="D122" s="1">
        <v>0</v>
      </c>
      <c r="E122" s="1">
        <v>1</v>
      </c>
      <c r="F122" s="1">
        <v>0</v>
      </c>
      <c r="G122">
        <v>93</v>
      </c>
      <c r="H122">
        <v>92.25</v>
      </c>
      <c r="I122">
        <v>94.25</v>
      </c>
      <c r="J122" t="s">
        <v>310</v>
      </c>
      <c r="K122" t="s">
        <v>307</v>
      </c>
    </row>
    <row r="123" spans="1:11">
      <c r="A123">
        <v>2016</v>
      </c>
      <c r="B123" s="22">
        <v>96.6</v>
      </c>
      <c r="C123" s="22">
        <v>79.419999999999987</v>
      </c>
      <c r="D123" s="1">
        <v>0</v>
      </c>
      <c r="E123" s="1">
        <v>1</v>
      </c>
      <c r="F123" s="1">
        <v>0</v>
      </c>
      <c r="G123">
        <v>96.25</v>
      </c>
      <c r="H123">
        <v>96.5</v>
      </c>
      <c r="I123">
        <v>97.25</v>
      </c>
      <c r="J123" t="s">
        <v>309</v>
      </c>
      <c r="K123" t="s">
        <v>307</v>
      </c>
    </row>
    <row r="124" spans="1:11">
      <c r="A124">
        <v>2016</v>
      </c>
      <c r="B124" s="22">
        <v>92</v>
      </c>
      <c r="C124" s="22">
        <v>67.013000000000005</v>
      </c>
      <c r="D124" s="1">
        <v>0</v>
      </c>
      <c r="E124" s="1">
        <v>1</v>
      </c>
      <c r="F124" s="1">
        <v>0</v>
      </c>
      <c r="G124">
        <v>84</v>
      </c>
      <c r="H124">
        <v>86</v>
      </c>
      <c r="I124">
        <v>93.25</v>
      </c>
      <c r="J124" t="s">
        <v>311</v>
      </c>
      <c r="K124" t="s">
        <v>307</v>
      </c>
    </row>
    <row r="125" spans="1:11">
      <c r="A125">
        <v>2016</v>
      </c>
      <c r="B125" s="22">
        <v>94.4</v>
      </c>
      <c r="C125" s="22">
        <v>86.146000000000001</v>
      </c>
      <c r="D125" s="1">
        <v>0</v>
      </c>
      <c r="E125" s="1">
        <v>1</v>
      </c>
      <c r="F125" s="1">
        <v>0</v>
      </c>
      <c r="G125">
        <v>93</v>
      </c>
      <c r="H125">
        <v>92.25</v>
      </c>
      <c r="I125">
        <v>94.25</v>
      </c>
      <c r="J125" t="s">
        <v>310</v>
      </c>
      <c r="K125" t="s">
        <v>307</v>
      </c>
    </row>
    <row r="126" spans="1:11">
      <c r="A126">
        <v>2016</v>
      </c>
      <c r="B126" s="26">
        <v>0.88600000000000001</v>
      </c>
      <c r="C126" s="26">
        <v>5.8415499999999998</v>
      </c>
      <c r="D126" s="1">
        <v>0</v>
      </c>
      <c r="E126" s="1">
        <v>1</v>
      </c>
      <c r="F126" s="1">
        <v>0</v>
      </c>
      <c r="K126" t="s">
        <v>307</v>
      </c>
    </row>
    <row r="127" spans="1:11">
      <c r="A127">
        <v>2016</v>
      </c>
      <c r="B127" s="22">
        <v>96.25</v>
      </c>
      <c r="C127" s="22">
        <v>86.013000000000005</v>
      </c>
      <c r="D127" s="1">
        <v>0</v>
      </c>
      <c r="E127" s="1">
        <v>1</v>
      </c>
      <c r="F127" s="1">
        <v>0</v>
      </c>
      <c r="G127">
        <v>93</v>
      </c>
      <c r="H127">
        <v>92.25</v>
      </c>
      <c r="I127">
        <v>94.25</v>
      </c>
      <c r="J127" t="s">
        <v>310</v>
      </c>
      <c r="K127" t="s">
        <v>307</v>
      </c>
    </row>
    <row r="128" spans="1:11">
      <c r="A128">
        <v>2016</v>
      </c>
      <c r="B128" s="22">
        <v>98.25</v>
      </c>
      <c r="C128" s="22">
        <v>89.091000000000008</v>
      </c>
      <c r="D128" s="1">
        <v>0</v>
      </c>
      <c r="E128" s="1">
        <v>1</v>
      </c>
      <c r="F128" s="1">
        <v>0</v>
      </c>
      <c r="G128">
        <v>96.25</v>
      </c>
      <c r="H128">
        <v>96.5</v>
      </c>
      <c r="I128">
        <v>97.25</v>
      </c>
      <c r="J128" t="s">
        <v>309</v>
      </c>
      <c r="K128" t="s">
        <v>307</v>
      </c>
    </row>
    <row r="129" spans="1:11">
      <c r="A129">
        <v>2016</v>
      </c>
      <c r="B129" s="22">
        <v>89.4</v>
      </c>
      <c r="C129" s="22">
        <v>72.67</v>
      </c>
      <c r="D129" s="1">
        <v>0</v>
      </c>
      <c r="E129" s="1">
        <v>1</v>
      </c>
      <c r="F129" s="1">
        <v>0</v>
      </c>
      <c r="G129">
        <v>84</v>
      </c>
      <c r="H129">
        <v>86</v>
      </c>
      <c r="I129">
        <v>93.25</v>
      </c>
      <c r="J129" t="s">
        <v>311</v>
      </c>
      <c r="K129" t="s">
        <v>307</v>
      </c>
    </row>
    <row r="130" spans="1:11">
      <c r="A130">
        <v>2016</v>
      </c>
      <c r="B130" s="22">
        <v>95</v>
      </c>
      <c r="C130" s="22">
        <v>85.632999999999996</v>
      </c>
      <c r="D130" s="1">
        <v>0</v>
      </c>
      <c r="E130" s="1">
        <v>1</v>
      </c>
      <c r="F130" s="1">
        <v>0</v>
      </c>
      <c r="G130">
        <v>93</v>
      </c>
      <c r="H130">
        <v>92.25</v>
      </c>
      <c r="I130">
        <v>94.25</v>
      </c>
      <c r="J130" t="s">
        <v>310</v>
      </c>
      <c r="K130" t="s">
        <v>307</v>
      </c>
    </row>
    <row r="131" spans="1:11">
      <c r="A131">
        <v>2016</v>
      </c>
      <c r="B131" s="22">
        <v>96.2</v>
      </c>
      <c r="C131" s="22">
        <v>79.078000000000003</v>
      </c>
      <c r="D131" s="1">
        <v>0</v>
      </c>
      <c r="E131" s="1">
        <v>1</v>
      </c>
      <c r="F131" s="1">
        <v>0</v>
      </c>
      <c r="G131">
        <v>93</v>
      </c>
      <c r="H131">
        <v>92.25</v>
      </c>
      <c r="I131">
        <v>94.25</v>
      </c>
      <c r="J131" t="s">
        <v>310</v>
      </c>
      <c r="K131" t="s">
        <v>307</v>
      </c>
    </row>
    <row r="132" spans="1:11">
      <c r="A132">
        <v>2016</v>
      </c>
      <c r="B132" s="22">
        <v>95</v>
      </c>
      <c r="C132" s="22">
        <v>88.967500000000001</v>
      </c>
      <c r="D132" s="1">
        <v>0</v>
      </c>
      <c r="E132" s="1">
        <v>1</v>
      </c>
      <c r="F132" s="1">
        <v>0</v>
      </c>
      <c r="G132">
        <v>93</v>
      </c>
      <c r="H132">
        <v>92.25</v>
      </c>
      <c r="I132">
        <v>94.25</v>
      </c>
      <c r="J132" t="s">
        <v>310</v>
      </c>
      <c r="K132" t="s">
        <v>307</v>
      </c>
    </row>
    <row r="133" spans="1:11">
      <c r="A133">
        <v>2016</v>
      </c>
      <c r="B133" s="22">
        <v>94.25</v>
      </c>
      <c r="C133" s="22">
        <v>74.717500000000001</v>
      </c>
      <c r="D133" s="1">
        <v>0</v>
      </c>
      <c r="E133" s="1">
        <v>1</v>
      </c>
      <c r="F133" s="1">
        <v>0</v>
      </c>
      <c r="G133">
        <v>93</v>
      </c>
      <c r="H133">
        <v>92.25</v>
      </c>
      <c r="I133">
        <v>94.25</v>
      </c>
      <c r="J133" t="s">
        <v>310</v>
      </c>
      <c r="K133" t="s">
        <v>307</v>
      </c>
    </row>
    <row r="134" spans="1:11">
      <c r="A134">
        <v>2016</v>
      </c>
      <c r="B134" s="22" t="s">
        <v>180</v>
      </c>
      <c r="C134" s="22">
        <v>84.986999999999995</v>
      </c>
      <c r="D134" s="1">
        <v>0</v>
      </c>
      <c r="E134" s="1">
        <v>1</v>
      </c>
      <c r="F134" s="1">
        <v>0</v>
      </c>
      <c r="G134">
        <v>96.25</v>
      </c>
      <c r="H134">
        <v>96.5</v>
      </c>
      <c r="I134">
        <v>97.25</v>
      </c>
      <c r="J134" t="s">
        <v>309</v>
      </c>
      <c r="K134" t="s">
        <v>307</v>
      </c>
    </row>
    <row r="135" spans="1:11">
      <c r="A135">
        <v>2016</v>
      </c>
      <c r="B135" s="22">
        <v>94.2</v>
      </c>
      <c r="C135" s="22">
        <v>78.954499999999996</v>
      </c>
      <c r="D135" s="1">
        <v>0</v>
      </c>
      <c r="E135" s="1">
        <v>0</v>
      </c>
      <c r="F135" s="1">
        <v>1</v>
      </c>
      <c r="G135">
        <v>84</v>
      </c>
      <c r="H135">
        <v>86</v>
      </c>
      <c r="I135">
        <v>93.25</v>
      </c>
      <c r="J135" t="s">
        <v>311</v>
      </c>
      <c r="K135" t="s">
        <v>308</v>
      </c>
    </row>
    <row r="136" spans="1:11">
      <c r="A136">
        <v>2016</v>
      </c>
      <c r="B136" s="22">
        <v>93.6</v>
      </c>
      <c r="C136" s="22">
        <v>52.72</v>
      </c>
      <c r="D136" s="1">
        <v>0</v>
      </c>
      <c r="E136" s="1">
        <v>0</v>
      </c>
      <c r="F136" s="1">
        <v>1</v>
      </c>
      <c r="G136">
        <v>84</v>
      </c>
      <c r="H136">
        <v>86</v>
      </c>
      <c r="I136">
        <v>93.25</v>
      </c>
      <c r="J136" t="s">
        <v>311</v>
      </c>
      <c r="K136" t="s">
        <v>308</v>
      </c>
    </row>
    <row r="137" spans="1:11">
      <c r="A137">
        <v>2016</v>
      </c>
      <c r="B137" s="22">
        <v>94.4</v>
      </c>
      <c r="C137" s="22">
        <v>67.355000000000004</v>
      </c>
      <c r="D137" s="1">
        <v>0</v>
      </c>
      <c r="E137" s="1">
        <v>0</v>
      </c>
      <c r="F137" s="1">
        <v>1</v>
      </c>
      <c r="G137">
        <v>93</v>
      </c>
      <c r="H137">
        <v>92.25</v>
      </c>
      <c r="I137">
        <v>94.25</v>
      </c>
      <c r="J137" t="s">
        <v>310</v>
      </c>
      <c r="K137" t="s">
        <v>308</v>
      </c>
    </row>
    <row r="138" spans="1:11">
      <c r="A138">
        <v>2016</v>
      </c>
      <c r="B138" s="22">
        <v>98.2</v>
      </c>
      <c r="C138" s="22">
        <v>89.347499999999997</v>
      </c>
      <c r="D138" s="1">
        <v>0</v>
      </c>
      <c r="E138" s="1">
        <v>0</v>
      </c>
      <c r="F138" s="1">
        <v>1</v>
      </c>
      <c r="G138">
        <v>96.25</v>
      </c>
      <c r="H138">
        <v>96.5</v>
      </c>
      <c r="I138">
        <v>97.25</v>
      </c>
      <c r="J138" t="s">
        <v>309</v>
      </c>
      <c r="K138" t="s">
        <v>308</v>
      </c>
    </row>
    <row r="139" spans="1:11">
      <c r="A139">
        <v>2016</v>
      </c>
      <c r="B139" s="22">
        <v>96.8</v>
      </c>
      <c r="C139" s="22">
        <v>88.710999999999999</v>
      </c>
      <c r="D139" s="1">
        <v>0</v>
      </c>
      <c r="E139" s="1">
        <v>0</v>
      </c>
      <c r="F139" s="1">
        <v>1</v>
      </c>
      <c r="G139">
        <v>93</v>
      </c>
      <c r="H139">
        <v>92.25</v>
      </c>
      <c r="I139">
        <v>94.25</v>
      </c>
      <c r="J139" t="s">
        <v>310</v>
      </c>
      <c r="K139" t="s">
        <v>308</v>
      </c>
    </row>
    <row r="140" spans="1:11">
      <c r="A140">
        <v>2016</v>
      </c>
      <c r="B140" s="22">
        <v>96.6</v>
      </c>
      <c r="C140" s="22">
        <v>85.367000000000004</v>
      </c>
      <c r="D140" s="1">
        <v>0</v>
      </c>
      <c r="E140" s="1">
        <v>0</v>
      </c>
      <c r="F140" s="1">
        <v>1</v>
      </c>
      <c r="G140">
        <v>93</v>
      </c>
      <c r="H140">
        <v>92.25</v>
      </c>
      <c r="I140">
        <v>94.25</v>
      </c>
      <c r="J140" t="s">
        <v>310</v>
      </c>
      <c r="K140" t="s">
        <v>308</v>
      </c>
    </row>
    <row r="141" spans="1:11">
      <c r="A141">
        <v>2016</v>
      </c>
      <c r="B141" s="22">
        <v>97.6</v>
      </c>
      <c r="C141" s="22">
        <v>86.564000000000007</v>
      </c>
      <c r="D141" s="1">
        <v>0</v>
      </c>
      <c r="E141" s="1">
        <v>0</v>
      </c>
      <c r="F141" s="1">
        <v>1</v>
      </c>
      <c r="G141">
        <v>96.25</v>
      </c>
      <c r="H141">
        <v>96.5</v>
      </c>
      <c r="I141">
        <v>97.25</v>
      </c>
      <c r="J141" t="s">
        <v>309</v>
      </c>
      <c r="K141" t="s">
        <v>308</v>
      </c>
    </row>
    <row r="142" spans="1:11">
      <c r="A142">
        <v>2016</v>
      </c>
      <c r="B142" s="22">
        <v>93.25</v>
      </c>
      <c r="C142" s="22">
        <v>74.97</v>
      </c>
      <c r="D142" s="1">
        <v>0</v>
      </c>
      <c r="E142" s="1">
        <v>0</v>
      </c>
      <c r="F142" s="1">
        <v>1</v>
      </c>
      <c r="G142">
        <v>84</v>
      </c>
      <c r="H142">
        <v>86</v>
      </c>
      <c r="I142">
        <v>93.25</v>
      </c>
      <c r="J142" t="s">
        <v>311</v>
      </c>
      <c r="K142" t="s">
        <v>308</v>
      </c>
    </row>
    <row r="143" spans="1:11">
      <c r="A143">
        <v>2016</v>
      </c>
      <c r="B143" s="22">
        <v>96.4</v>
      </c>
      <c r="C143" s="22">
        <v>79.847499999999997</v>
      </c>
      <c r="D143" s="1">
        <v>0</v>
      </c>
      <c r="E143" s="1">
        <v>0</v>
      </c>
      <c r="F143" s="1">
        <v>1</v>
      </c>
      <c r="G143">
        <v>93</v>
      </c>
      <c r="H143">
        <v>92.25</v>
      </c>
      <c r="I143">
        <v>94.25</v>
      </c>
      <c r="J143" t="s">
        <v>310</v>
      </c>
      <c r="K143" t="s">
        <v>308</v>
      </c>
    </row>
    <row r="144" spans="1:11">
      <c r="A144">
        <v>2016</v>
      </c>
      <c r="B144" s="22">
        <v>81.8</v>
      </c>
      <c r="C144" s="22">
        <v>72.92</v>
      </c>
      <c r="D144" s="1">
        <v>0</v>
      </c>
      <c r="E144" s="1">
        <v>0</v>
      </c>
      <c r="F144" s="1">
        <v>1</v>
      </c>
      <c r="G144">
        <v>74</v>
      </c>
      <c r="H144">
        <v>79</v>
      </c>
      <c r="I144">
        <v>75</v>
      </c>
      <c r="J144" t="s">
        <v>312</v>
      </c>
      <c r="K144" t="s">
        <v>308</v>
      </c>
    </row>
    <row r="145" spans="1:11">
      <c r="A145">
        <v>2016</v>
      </c>
      <c r="B145" s="22">
        <v>93.2</v>
      </c>
      <c r="C145" s="22">
        <v>67.45</v>
      </c>
      <c r="D145" s="1">
        <v>0</v>
      </c>
      <c r="E145" s="1">
        <v>0</v>
      </c>
      <c r="F145" s="1">
        <v>1</v>
      </c>
      <c r="G145">
        <v>74</v>
      </c>
      <c r="H145">
        <v>79</v>
      </c>
      <c r="I145">
        <v>75</v>
      </c>
      <c r="J145" t="s">
        <v>312</v>
      </c>
      <c r="K145" t="s">
        <v>308</v>
      </c>
    </row>
    <row r="146" spans="1:11">
      <c r="A146">
        <v>2016</v>
      </c>
      <c r="B146" s="22">
        <v>93</v>
      </c>
      <c r="C146" s="22">
        <v>68.685000000000002</v>
      </c>
      <c r="D146" s="1">
        <v>0</v>
      </c>
      <c r="E146" s="1">
        <v>0</v>
      </c>
      <c r="F146" s="1">
        <v>1</v>
      </c>
      <c r="G146">
        <v>74</v>
      </c>
      <c r="H146">
        <v>79</v>
      </c>
      <c r="I146">
        <v>75</v>
      </c>
      <c r="J146" t="s">
        <v>312</v>
      </c>
      <c r="K146" t="s">
        <v>308</v>
      </c>
    </row>
    <row r="147" spans="1:11">
      <c r="A147">
        <v>2016</v>
      </c>
      <c r="B147" s="22">
        <v>97</v>
      </c>
      <c r="C147" s="22">
        <v>86.782499999999999</v>
      </c>
      <c r="D147" s="1">
        <v>0</v>
      </c>
      <c r="E147" s="1">
        <v>0</v>
      </c>
      <c r="F147" s="1">
        <v>1</v>
      </c>
      <c r="G147">
        <v>93</v>
      </c>
      <c r="H147">
        <v>92.25</v>
      </c>
      <c r="I147">
        <v>94.25</v>
      </c>
      <c r="J147" t="s">
        <v>310</v>
      </c>
      <c r="K147" t="s">
        <v>308</v>
      </c>
    </row>
    <row r="148" spans="1:11">
      <c r="A148">
        <v>2016</v>
      </c>
      <c r="B148" s="22">
        <v>95.4</v>
      </c>
      <c r="C148" s="22">
        <v>76.646000000000001</v>
      </c>
      <c r="D148" s="1">
        <v>0</v>
      </c>
      <c r="E148" s="1">
        <v>0</v>
      </c>
      <c r="F148" s="1">
        <v>1</v>
      </c>
      <c r="G148">
        <v>93</v>
      </c>
      <c r="H148">
        <v>92.25</v>
      </c>
      <c r="I148">
        <v>94.25</v>
      </c>
      <c r="J148" t="s">
        <v>310</v>
      </c>
      <c r="K148" t="s">
        <v>308</v>
      </c>
    </row>
    <row r="149" spans="1:11">
      <c r="A149">
        <v>2016</v>
      </c>
      <c r="B149" s="22">
        <v>96.6</v>
      </c>
      <c r="C149" s="22">
        <v>83.058500000000009</v>
      </c>
      <c r="D149" s="1">
        <v>0</v>
      </c>
      <c r="E149" s="1">
        <v>0</v>
      </c>
      <c r="F149" s="1">
        <v>1</v>
      </c>
      <c r="G149">
        <v>93</v>
      </c>
      <c r="H149">
        <v>92.25</v>
      </c>
      <c r="I149">
        <v>94.25</v>
      </c>
      <c r="J149" t="s">
        <v>310</v>
      </c>
      <c r="K149" t="s">
        <v>308</v>
      </c>
    </row>
    <row r="150" spans="1:11">
      <c r="A150">
        <v>2016</v>
      </c>
      <c r="B150" s="22">
        <v>96</v>
      </c>
      <c r="C150" s="22">
        <v>82.545500000000004</v>
      </c>
      <c r="D150" s="1">
        <v>0</v>
      </c>
      <c r="E150" s="1">
        <v>0</v>
      </c>
      <c r="F150" s="1">
        <v>1</v>
      </c>
      <c r="G150">
        <v>93</v>
      </c>
      <c r="H150">
        <v>92.25</v>
      </c>
      <c r="I150">
        <v>94.25</v>
      </c>
      <c r="J150" t="s">
        <v>310</v>
      </c>
      <c r="K150" t="s">
        <v>308</v>
      </c>
    </row>
    <row r="151" spans="1:11">
      <c r="A151">
        <v>2016</v>
      </c>
      <c r="B151" s="22">
        <v>94.75</v>
      </c>
      <c r="C151" s="22">
        <v>62.415000000000006</v>
      </c>
      <c r="D151" s="1">
        <v>0</v>
      </c>
      <c r="E151" s="1">
        <v>0</v>
      </c>
      <c r="F151" s="1">
        <v>1</v>
      </c>
      <c r="G151">
        <v>93</v>
      </c>
      <c r="H151">
        <v>92.25</v>
      </c>
      <c r="I151">
        <v>94.25</v>
      </c>
      <c r="J151" t="s">
        <v>310</v>
      </c>
      <c r="K151" t="s">
        <v>308</v>
      </c>
    </row>
    <row r="152" spans="1:11">
      <c r="A152">
        <v>2017</v>
      </c>
      <c r="B152" s="25">
        <v>96.75</v>
      </c>
      <c r="C152" s="25">
        <v>78.28</v>
      </c>
      <c r="D152" s="11">
        <v>1</v>
      </c>
      <c r="E152" s="1">
        <v>0</v>
      </c>
      <c r="F152" s="1">
        <v>0</v>
      </c>
      <c r="G152">
        <v>96.75</v>
      </c>
      <c r="H152">
        <v>97</v>
      </c>
      <c r="I152">
        <v>97.75</v>
      </c>
      <c r="J152" t="s">
        <v>309</v>
      </c>
      <c r="K152" t="s">
        <v>306</v>
      </c>
    </row>
    <row r="153" spans="1:11">
      <c r="A153">
        <v>2017</v>
      </c>
      <c r="B153" s="25">
        <v>96.8</v>
      </c>
      <c r="C153" s="25">
        <v>70.775000000000006</v>
      </c>
      <c r="D153" s="11">
        <v>1</v>
      </c>
      <c r="E153" s="1">
        <v>0</v>
      </c>
      <c r="F153" s="1">
        <v>0</v>
      </c>
      <c r="G153">
        <v>96.75</v>
      </c>
      <c r="H153">
        <v>97</v>
      </c>
      <c r="I153">
        <v>97.75</v>
      </c>
      <c r="J153" t="s">
        <v>309</v>
      </c>
      <c r="K153" t="s">
        <v>306</v>
      </c>
    </row>
    <row r="154" spans="1:11">
      <c r="A154">
        <v>2017</v>
      </c>
      <c r="B154" s="25">
        <v>96.4</v>
      </c>
      <c r="C154" s="25">
        <v>83.79</v>
      </c>
      <c r="D154" s="11">
        <v>1</v>
      </c>
      <c r="E154" s="1">
        <v>0</v>
      </c>
      <c r="F154" s="1">
        <v>0</v>
      </c>
      <c r="G154">
        <v>91.5</v>
      </c>
      <c r="H154">
        <v>93.25</v>
      </c>
      <c r="I154">
        <v>95.5</v>
      </c>
      <c r="J154" t="s">
        <v>310</v>
      </c>
      <c r="K154" t="s">
        <v>306</v>
      </c>
    </row>
    <row r="155" spans="1:11">
      <c r="A155">
        <v>2017</v>
      </c>
      <c r="B155" s="25">
        <v>96.6</v>
      </c>
      <c r="C155" s="25">
        <v>84.455000000000013</v>
      </c>
      <c r="D155" s="11">
        <v>1</v>
      </c>
      <c r="E155" s="1">
        <v>0</v>
      </c>
      <c r="F155" s="1">
        <v>0</v>
      </c>
      <c r="G155">
        <v>91.5</v>
      </c>
      <c r="H155">
        <v>93.25</v>
      </c>
      <c r="I155">
        <v>95.5</v>
      </c>
      <c r="J155" t="s">
        <v>310</v>
      </c>
      <c r="K155" t="s">
        <v>306</v>
      </c>
    </row>
    <row r="156" spans="1:11">
      <c r="A156">
        <v>2017</v>
      </c>
      <c r="B156" s="25">
        <v>94.2</v>
      </c>
      <c r="C156" s="25">
        <v>76</v>
      </c>
      <c r="D156" s="11">
        <v>1</v>
      </c>
      <c r="E156" s="1">
        <v>0</v>
      </c>
      <c r="F156" s="1">
        <v>0</v>
      </c>
      <c r="G156">
        <v>91.5</v>
      </c>
      <c r="H156">
        <v>93.25</v>
      </c>
      <c r="I156">
        <v>95.5</v>
      </c>
      <c r="J156" t="s">
        <v>310</v>
      </c>
      <c r="K156" t="s">
        <v>306</v>
      </c>
    </row>
    <row r="157" spans="1:11">
      <c r="A157">
        <v>2017</v>
      </c>
      <c r="B157" s="25">
        <v>96.6</v>
      </c>
      <c r="C157" s="25">
        <v>80.084999999999994</v>
      </c>
      <c r="D157" s="11">
        <v>1</v>
      </c>
      <c r="E157" s="1">
        <v>0</v>
      </c>
      <c r="F157" s="1">
        <v>0</v>
      </c>
      <c r="G157">
        <v>91.5</v>
      </c>
      <c r="H157">
        <v>93.25</v>
      </c>
      <c r="I157">
        <v>95.5</v>
      </c>
      <c r="J157" t="s">
        <v>310</v>
      </c>
      <c r="K157" t="s">
        <v>306</v>
      </c>
    </row>
    <row r="158" spans="1:11">
      <c r="A158">
        <v>2017</v>
      </c>
      <c r="B158" s="25">
        <v>93.6</v>
      </c>
      <c r="C158" s="25">
        <v>58.9</v>
      </c>
      <c r="D158" s="11">
        <v>1</v>
      </c>
      <c r="E158" s="1">
        <v>0</v>
      </c>
      <c r="F158" s="1">
        <v>0</v>
      </c>
      <c r="G158">
        <v>91.5</v>
      </c>
      <c r="H158">
        <v>93.25</v>
      </c>
      <c r="I158">
        <v>95.5</v>
      </c>
      <c r="J158" t="s">
        <v>310</v>
      </c>
      <c r="K158" t="s">
        <v>306</v>
      </c>
    </row>
    <row r="159" spans="1:11">
      <c r="A159">
        <v>2017</v>
      </c>
      <c r="B159" s="25">
        <v>95.2</v>
      </c>
      <c r="C159" s="25">
        <v>80.844999999999999</v>
      </c>
      <c r="D159" s="11">
        <v>1</v>
      </c>
      <c r="E159" s="1">
        <v>0</v>
      </c>
      <c r="F159" s="1">
        <v>0</v>
      </c>
      <c r="G159">
        <v>91.5</v>
      </c>
      <c r="H159">
        <v>93.25</v>
      </c>
      <c r="I159">
        <v>95.5</v>
      </c>
      <c r="J159" t="s">
        <v>310</v>
      </c>
      <c r="K159" t="s">
        <v>306</v>
      </c>
    </row>
    <row r="160" spans="1:11">
      <c r="A160">
        <v>2017</v>
      </c>
      <c r="B160" s="25">
        <v>94.75</v>
      </c>
      <c r="C160" s="25">
        <v>74.765000000000001</v>
      </c>
      <c r="D160" s="11">
        <v>1</v>
      </c>
      <c r="E160" s="1">
        <v>0</v>
      </c>
      <c r="F160" s="1">
        <v>0</v>
      </c>
      <c r="G160">
        <v>91.5</v>
      </c>
      <c r="H160">
        <v>93.25</v>
      </c>
      <c r="I160">
        <v>95.5</v>
      </c>
      <c r="J160" t="s">
        <v>310</v>
      </c>
      <c r="K160" t="s">
        <v>306</v>
      </c>
    </row>
    <row r="161" spans="1:11">
      <c r="A161">
        <v>2017</v>
      </c>
      <c r="B161" s="25">
        <v>96.8</v>
      </c>
      <c r="C161" s="25">
        <v>87.304999999999993</v>
      </c>
      <c r="D161" s="11">
        <v>1</v>
      </c>
      <c r="E161" s="1">
        <v>0</v>
      </c>
      <c r="F161" s="1">
        <v>0</v>
      </c>
      <c r="G161">
        <v>96.75</v>
      </c>
      <c r="H161">
        <v>97</v>
      </c>
      <c r="I161">
        <v>97.75</v>
      </c>
      <c r="J161" t="s">
        <v>309</v>
      </c>
      <c r="K161" t="s">
        <v>306</v>
      </c>
    </row>
    <row r="162" spans="1:11">
      <c r="A162">
        <v>2017</v>
      </c>
      <c r="B162" s="25">
        <v>96.4</v>
      </c>
      <c r="C162" s="25">
        <v>83.5715</v>
      </c>
      <c r="D162" s="11">
        <v>1</v>
      </c>
      <c r="E162" s="1">
        <v>0</v>
      </c>
      <c r="F162" s="1">
        <v>0</v>
      </c>
      <c r="G162">
        <v>91.5</v>
      </c>
      <c r="H162">
        <v>93.25</v>
      </c>
      <c r="I162">
        <v>95.5</v>
      </c>
      <c r="J162" t="s">
        <v>310</v>
      </c>
      <c r="K162" t="s">
        <v>306</v>
      </c>
    </row>
    <row r="163" spans="1:11">
      <c r="A163">
        <v>2017</v>
      </c>
      <c r="B163" s="25">
        <v>0.84399999999999997</v>
      </c>
      <c r="C163" s="25">
        <v>66.784999999999997</v>
      </c>
      <c r="D163" s="11">
        <v>1</v>
      </c>
      <c r="E163" s="1">
        <v>0</v>
      </c>
      <c r="F163" s="1">
        <v>0</v>
      </c>
      <c r="K163" t="s">
        <v>306</v>
      </c>
    </row>
    <row r="164" spans="1:11">
      <c r="A164">
        <v>2017</v>
      </c>
      <c r="B164" s="25">
        <v>96.4</v>
      </c>
      <c r="C164" s="25">
        <v>85.243500000000012</v>
      </c>
      <c r="D164" s="11">
        <v>1</v>
      </c>
      <c r="E164" s="1">
        <v>0</v>
      </c>
      <c r="F164" s="1">
        <v>0</v>
      </c>
      <c r="G164">
        <v>91.5</v>
      </c>
      <c r="H164">
        <v>93.25</v>
      </c>
      <c r="I164">
        <v>95.5</v>
      </c>
      <c r="J164" t="s">
        <v>310</v>
      </c>
      <c r="K164" t="s">
        <v>306</v>
      </c>
    </row>
    <row r="165" spans="1:11">
      <c r="A165">
        <v>2017</v>
      </c>
      <c r="B165" s="25">
        <v>95.2</v>
      </c>
      <c r="C165" s="25">
        <v>73.814999999999998</v>
      </c>
      <c r="D165" s="11">
        <v>1</v>
      </c>
      <c r="E165" s="1">
        <v>0</v>
      </c>
      <c r="F165" s="1">
        <v>0</v>
      </c>
      <c r="G165">
        <v>91.5</v>
      </c>
      <c r="H165">
        <v>93.25</v>
      </c>
      <c r="I165">
        <v>95.5</v>
      </c>
      <c r="J165" t="s">
        <v>310</v>
      </c>
      <c r="K165" t="s">
        <v>306</v>
      </c>
    </row>
    <row r="166" spans="1:11">
      <c r="A166">
        <v>2017</v>
      </c>
      <c r="B166" s="25">
        <v>96.4</v>
      </c>
      <c r="C166" s="25">
        <v>87.875</v>
      </c>
      <c r="D166" s="11">
        <v>1</v>
      </c>
      <c r="E166" s="1">
        <v>0</v>
      </c>
      <c r="F166" s="1">
        <v>0</v>
      </c>
      <c r="G166">
        <v>91.5</v>
      </c>
      <c r="H166">
        <v>93.25</v>
      </c>
      <c r="I166">
        <v>95.5</v>
      </c>
      <c r="J166" t="s">
        <v>310</v>
      </c>
      <c r="K166" t="s">
        <v>306</v>
      </c>
    </row>
    <row r="167" spans="1:11">
      <c r="A167">
        <v>2017</v>
      </c>
      <c r="B167" s="25">
        <v>96.5</v>
      </c>
      <c r="C167" s="25">
        <v>74.48</v>
      </c>
      <c r="D167" s="11">
        <v>1</v>
      </c>
      <c r="E167" s="1">
        <v>0</v>
      </c>
      <c r="F167" s="1">
        <v>0</v>
      </c>
      <c r="G167">
        <v>91.5</v>
      </c>
      <c r="H167">
        <v>93.25</v>
      </c>
      <c r="I167">
        <v>95.5</v>
      </c>
      <c r="J167" t="s">
        <v>310</v>
      </c>
      <c r="K167" t="s">
        <v>306</v>
      </c>
    </row>
    <row r="168" spans="1:11">
      <c r="A168">
        <v>2017</v>
      </c>
      <c r="B168" s="25">
        <v>96.2</v>
      </c>
      <c r="C168" s="25">
        <v>74.954999999999998</v>
      </c>
      <c r="D168" s="11">
        <v>1</v>
      </c>
      <c r="E168" s="1">
        <v>0</v>
      </c>
      <c r="F168" s="1">
        <v>0</v>
      </c>
      <c r="G168">
        <v>91.5</v>
      </c>
      <c r="H168">
        <v>93.25</v>
      </c>
      <c r="I168">
        <v>95.5</v>
      </c>
      <c r="J168" t="s">
        <v>310</v>
      </c>
      <c r="K168" t="s">
        <v>306</v>
      </c>
    </row>
    <row r="169" spans="1:11">
      <c r="A169">
        <v>2017</v>
      </c>
      <c r="B169" s="25">
        <v>92.6</v>
      </c>
      <c r="C169" s="25">
        <v>82.289000000000001</v>
      </c>
      <c r="D169" s="11">
        <v>1</v>
      </c>
      <c r="E169" s="1">
        <v>0</v>
      </c>
      <c r="F169" s="1">
        <v>0</v>
      </c>
      <c r="G169">
        <v>91.5</v>
      </c>
      <c r="H169">
        <v>93.25</v>
      </c>
      <c r="I169">
        <v>95.5</v>
      </c>
      <c r="J169" t="s">
        <v>310</v>
      </c>
      <c r="K169" t="s">
        <v>306</v>
      </c>
    </row>
    <row r="170" spans="1:11">
      <c r="A170">
        <v>2017</v>
      </c>
      <c r="B170" s="25">
        <v>97.4</v>
      </c>
      <c r="C170" s="25">
        <v>85.215000000000003</v>
      </c>
      <c r="D170" s="1">
        <v>0</v>
      </c>
      <c r="E170" s="1">
        <v>1</v>
      </c>
      <c r="F170" s="1">
        <v>0</v>
      </c>
      <c r="G170">
        <v>96.75</v>
      </c>
      <c r="H170">
        <v>97</v>
      </c>
      <c r="I170">
        <v>97.75</v>
      </c>
      <c r="J170" t="s">
        <v>309</v>
      </c>
      <c r="K170" t="s">
        <v>307</v>
      </c>
    </row>
    <row r="171" spans="1:11">
      <c r="A171">
        <v>2017</v>
      </c>
      <c r="B171" s="25">
        <v>95.2</v>
      </c>
      <c r="C171" s="25">
        <v>81.263000000000005</v>
      </c>
      <c r="D171" s="1">
        <v>0</v>
      </c>
      <c r="E171" s="1">
        <v>1</v>
      </c>
      <c r="F171" s="1">
        <v>0</v>
      </c>
      <c r="G171">
        <v>91.5</v>
      </c>
      <c r="H171">
        <v>93.25</v>
      </c>
      <c r="I171">
        <v>95.5</v>
      </c>
      <c r="J171" t="s">
        <v>310</v>
      </c>
      <c r="K171" t="s">
        <v>307</v>
      </c>
    </row>
    <row r="172" spans="1:11">
      <c r="A172">
        <v>2017</v>
      </c>
      <c r="B172" s="25">
        <v>0.91</v>
      </c>
      <c r="C172" s="25">
        <v>86.26</v>
      </c>
      <c r="D172" s="1">
        <v>0</v>
      </c>
      <c r="E172" s="1">
        <v>1</v>
      </c>
      <c r="F172" s="1">
        <v>0</v>
      </c>
      <c r="K172" t="s">
        <v>307</v>
      </c>
    </row>
    <row r="173" spans="1:11">
      <c r="A173">
        <v>2017</v>
      </c>
      <c r="B173" s="25">
        <v>93</v>
      </c>
      <c r="C173" s="25">
        <v>80.274999999999991</v>
      </c>
      <c r="D173" s="1">
        <v>0</v>
      </c>
      <c r="E173" s="1">
        <v>1</v>
      </c>
      <c r="F173" s="1">
        <v>0</v>
      </c>
      <c r="G173">
        <v>86.75</v>
      </c>
      <c r="H173">
        <v>84</v>
      </c>
      <c r="I173">
        <v>90.25</v>
      </c>
      <c r="J173" t="s">
        <v>311</v>
      </c>
      <c r="K173" t="s">
        <v>307</v>
      </c>
    </row>
    <row r="174" spans="1:11">
      <c r="A174">
        <v>2017</v>
      </c>
      <c r="B174" s="25">
        <v>90.2</v>
      </c>
      <c r="C174" s="25">
        <v>77.804999999999993</v>
      </c>
      <c r="D174" s="1">
        <v>0</v>
      </c>
      <c r="E174" s="1">
        <v>1</v>
      </c>
      <c r="F174" s="1">
        <v>0</v>
      </c>
      <c r="G174">
        <v>86.75</v>
      </c>
      <c r="H174">
        <v>84</v>
      </c>
      <c r="I174">
        <v>90.25</v>
      </c>
      <c r="J174" t="s">
        <v>311</v>
      </c>
      <c r="K174" t="s">
        <v>307</v>
      </c>
    </row>
    <row r="175" spans="1:11">
      <c r="A175">
        <v>2017</v>
      </c>
      <c r="B175" s="25">
        <v>81.400000000000006</v>
      </c>
      <c r="C175" s="25">
        <v>69.197999999999993</v>
      </c>
      <c r="D175" s="1">
        <v>0</v>
      </c>
      <c r="E175" s="1">
        <v>1</v>
      </c>
      <c r="F175" s="1">
        <v>0</v>
      </c>
      <c r="K175" t="s">
        <v>307</v>
      </c>
    </row>
    <row r="176" spans="1:11">
      <c r="A176">
        <v>2017</v>
      </c>
      <c r="B176" s="25">
        <v>93.6</v>
      </c>
      <c r="C176" s="25">
        <v>85.405000000000001</v>
      </c>
      <c r="D176" s="1">
        <v>0</v>
      </c>
      <c r="E176" s="1">
        <v>1</v>
      </c>
      <c r="F176" s="1">
        <v>0</v>
      </c>
      <c r="G176">
        <v>91.5</v>
      </c>
      <c r="H176">
        <v>93.25</v>
      </c>
      <c r="I176">
        <v>95.5</v>
      </c>
      <c r="J176" t="s">
        <v>310</v>
      </c>
      <c r="K176" t="s">
        <v>307</v>
      </c>
    </row>
    <row r="177" spans="1:11">
      <c r="A177">
        <v>2017</v>
      </c>
      <c r="B177" s="25">
        <v>97</v>
      </c>
      <c r="C177" s="25">
        <v>88.254999999999995</v>
      </c>
      <c r="D177" s="1">
        <v>0</v>
      </c>
      <c r="E177" s="1">
        <v>1</v>
      </c>
      <c r="F177" s="1">
        <v>0</v>
      </c>
      <c r="G177">
        <v>96.75</v>
      </c>
      <c r="H177">
        <v>97</v>
      </c>
      <c r="I177">
        <v>97.75</v>
      </c>
      <c r="J177" t="s">
        <v>309</v>
      </c>
      <c r="K177" t="s">
        <v>307</v>
      </c>
    </row>
    <row r="178" spans="1:11">
      <c r="A178">
        <v>2017</v>
      </c>
      <c r="B178" s="25">
        <v>97</v>
      </c>
      <c r="C178" s="25">
        <v>89.347499999999997</v>
      </c>
      <c r="D178" s="1">
        <v>0</v>
      </c>
      <c r="E178" s="1">
        <v>1</v>
      </c>
      <c r="F178" s="1">
        <v>0</v>
      </c>
      <c r="G178">
        <v>96.75</v>
      </c>
      <c r="H178">
        <v>97</v>
      </c>
      <c r="I178">
        <v>97.75</v>
      </c>
      <c r="J178" t="s">
        <v>309</v>
      </c>
      <c r="K178" t="s">
        <v>307</v>
      </c>
    </row>
    <row r="179" spans="1:11">
      <c r="A179">
        <v>2017</v>
      </c>
      <c r="B179" s="25">
        <v>93.8</v>
      </c>
      <c r="C179" s="25">
        <v>78.564999999999998</v>
      </c>
      <c r="D179" s="1">
        <v>0</v>
      </c>
      <c r="E179" s="1">
        <v>1</v>
      </c>
      <c r="F179" s="1">
        <v>0</v>
      </c>
      <c r="G179">
        <v>91.5</v>
      </c>
      <c r="H179">
        <v>93.25</v>
      </c>
      <c r="I179">
        <v>95.5</v>
      </c>
      <c r="J179" t="s">
        <v>310</v>
      </c>
      <c r="K179" t="s">
        <v>307</v>
      </c>
    </row>
    <row r="180" spans="1:11">
      <c r="A180">
        <v>2017</v>
      </c>
      <c r="B180" s="25">
        <v>98.5</v>
      </c>
      <c r="C180" s="25">
        <v>81.889999999999986</v>
      </c>
      <c r="D180" s="1">
        <v>0</v>
      </c>
      <c r="E180" s="1">
        <v>0</v>
      </c>
      <c r="F180" s="1">
        <v>1</v>
      </c>
      <c r="G180">
        <v>96.75</v>
      </c>
      <c r="H180">
        <v>97</v>
      </c>
      <c r="I180">
        <v>97.75</v>
      </c>
      <c r="J180" t="s">
        <v>309</v>
      </c>
      <c r="K180" t="s">
        <v>308</v>
      </c>
    </row>
    <row r="181" spans="1:11">
      <c r="A181">
        <v>2017</v>
      </c>
      <c r="B181" s="25">
        <v>92.4</v>
      </c>
      <c r="C181" s="25">
        <v>77.795500000000004</v>
      </c>
      <c r="D181" s="1">
        <v>0</v>
      </c>
      <c r="E181" s="1">
        <v>0</v>
      </c>
      <c r="F181" s="1">
        <v>1</v>
      </c>
      <c r="G181">
        <v>86.75</v>
      </c>
      <c r="H181">
        <v>84</v>
      </c>
      <c r="I181">
        <v>90.25</v>
      </c>
      <c r="J181" t="s">
        <v>311</v>
      </c>
      <c r="K181" t="s">
        <v>308</v>
      </c>
    </row>
    <row r="182" spans="1:11">
      <c r="A182">
        <v>2017</v>
      </c>
      <c r="B182" s="25">
        <v>98</v>
      </c>
      <c r="C182" s="25">
        <v>87.304999999999993</v>
      </c>
      <c r="D182" s="1">
        <v>0</v>
      </c>
      <c r="E182" s="1">
        <v>0</v>
      </c>
      <c r="F182" s="1">
        <v>1</v>
      </c>
      <c r="G182">
        <v>96.75</v>
      </c>
      <c r="H182">
        <v>97</v>
      </c>
      <c r="I182">
        <v>97.75</v>
      </c>
      <c r="J182" t="s">
        <v>309</v>
      </c>
      <c r="K182" t="s">
        <v>308</v>
      </c>
    </row>
    <row r="183" spans="1:11">
      <c r="A183">
        <v>2017</v>
      </c>
      <c r="B183" s="25">
        <v>97.8</v>
      </c>
      <c r="C183" s="25">
        <v>91.532499999999999</v>
      </c>
      <c r="D183" s="1">
        <v>0</v>
      </c>
      <c r="E183" s="1">
        <v>0</v>
      </c>
      <c r="F183" s="1">
        <v>1</v>
      </c>
      <c r="G183">
        <v>96.75</v>
      </c>
      <c r="H183">
        <v>97</v>
      </c>
      <c r="I183">
        <v>97.75</v>
      </c>
      <c r="J183" t="s">
        <v>309</v>
      </c>
      <c r="K183" t="s">
        <v>308</v>
      </c>
    </row>
    <row r="184" spans="1:11">
      <c r="A184">
        <v>2017</v>
      </c>
      <c r="B184" s="25">
        <v>96.4</v>
      </c>
      <c r="C184" s="25">
        <v>82.032499999999999</v>
      </c>
      <c r="D184" s="1">
        <v>0</v>
      </c>
      <c r="E184" s="1">
        <v>0</v>
      </c>
      <c r="F184" s="1">
        <v>1</v>
      </c>
      <c r="G184">
        <v>91.5</v>
      </c>
      <c r="H184">
        <v>93.25</v>
      </c>
      <c r="I184">
        <v>95.5</v>
      </c>
      <c r="J184" t="s">
        <v>310</v>
      </c>
      <c r="K184" t="s">
        <v>308</v>
      </c>
    </row>
    <row r="185" spans="1:11">
      <c r="A185">
        <v>2017</v>
      </c>
      <c r="B185" s="25">
        <v>92</v>
      </c>
      <c r="C185" s="25">
        <v>73.150000000000006</v>
      </c>
      <c r="D185" s="1">
        <v>0</v>
      </c>
      <c r="E185" s="1">
        <v>0</v>
      </c>
      <c r="F185" s="1">
        <v>1</v>
      </c>
      <c r="G185">
        <v>86.75</v>
      </c>
      <c r="H185">
        <v>84</v>
      </c>
      <c r="I185">
        <v>90.25</v>
      </c>
      <c r="J185" t="s">
        <v>311</v>
      </c>
      <c r="K185" t="s">
        <v>308</v>
      </c>
    </row>
    <row r="186" spans="1:11">
      <c r="A186">
        <v>2017</v>
      </c>
      <c r="B186" s="25">
        <v>93.6</v>
      </c>
      <c r="C186" s="25">
        <v>73.691499999999991</v>
      </c>
      <c r="D186" s="1">
        <v>0</v>
      </c>
      <c r="E186" s="1">
        <v>0</v>
      </c>
      <c r="F186" s="1">
        <v>1</v>
      </c>
      <c r="G186">
        <v>86.75</v>
      </c>
      <c r="H186">
        <v>84</v>
      </c>
      <c r="I186">
        <v>90.25</v>
      </c>
      <c r="J186" t="s">
        <v>311</v>
      </c>
      <c r="K186" t="s">
        <v>308</v>
      </c>
    </row>
    <row r="187" spans="1:11">
      <c r="A187">
        <v>2017</v>
      </c>
      <c r="B187" s="25">
        <v>99.2</v>
      </c>
      <c r="C187" s="25">
        <v>85.784999999999997</v>
      </c>
      <c r="D187" s="1">
        <v>0</v>
      </c>
      <c r="E187" s="1">
        <v>0</v>
      </c>
      <c r="F187" s="1">
        <v>1</v>
      </c>
      <c r="G187">
        <v>96.75</v>
      </c>
      <c r="H187">
        <v>97</v>
      </c>
      <c r="I187">
        <v>97.75</v>
      </c>
      <c r="J187" t="s">
        <v>309</v>
      </c>
      <c r="K187" t="s">
        <v>308</v>
      </c>
    </row>
    <row r="188" spans="1:11">
      <c r="A188">
        <v>2017</v>
      </c>
      <c r="B188" s="25">
        <v>0.92400000000000004</v>
      </c>
      <c r="C188" s="25">
        <v>70.204999999999998</v>
      </c>
      <c r="D188" s="1">
        <v>0</v>
      </c>
      <c r="E188" s="1">
        <v>0</v>
      </c>
      <c r="F188" s="1">
        <v>1</v>
      </c>
      <c r="K188" t="s">
        <v>308</v>
      </c>
    </row>
    <row r="189" spans="1:11">
      <c r="A189">
        <v>2017</v>
      </c>
      <c r="B189" s="25">
        <v>92.8</v>
      </c>
      <c r="C189" s="25">
        <v>81.224999999999994</v>
      </c>
      <c r="D189" s="1">
        <v>0</v>
      </c>
      <c r="E189" s="1">
        <v>0</v>
      </c>
      <c r="F189" s="1">
        <v>1</v>
      </c>
      <c r="G189">
        <v>86.75</v>
      </c>
      <c r="H189">
        <v>84</v>
      </c>
      <c r="I189">
        <v>90.25</v>
      </c>
      <c r="J189" t="s">
        <v>311</v>
      </c>
      <c r="K189" t="s">
        <v>308</v>
      </c>
    </row>
    <row r="190" spans="1:11">
      <c r="A190">
        <v>2017</v>
      </c>
      <c r="B190" s="25">
        <v>97.4</v>
      </c>
      <c r="C190" s="25">
        <v>90.725000000000009</v>
      </c>
      <c r="D190" s="1">
        <v>0</v>
      </c>
      <c r="E190" s="1">
        <v>0</v>
      </c>
      <c r="F190" s="1">
        <v>1</v>
      </c>
      <c r="G190">
        <v>91.5</v>
      </c>
      <c r="H190">
        <v>93.25</v>
      </c>
      <c r="I190">
        <v>95.5</v>
      </c>
      <c r="J190" t="s">
        <v>310</v>
      </c>
      <c r="K190" t="s">
        <v>308</v>
      </c>
    </row>
    <row r="191" spans="1:11">
      <c r="A191">
        <v>2017</v>
      </c>
      <c r="B191" s="25">
        <v>93</v>
      </c>
      <c r="C191" s="25">
        <v>77.804999999999993</v>
      </c>
      <c r="D191" s="1">
        <v>0</v>
      </c>
      <c r="E191" s="1">
        <v>0</v>
      </c>
      <c r="F191" s="1">
        <v>1</v>
      </c>
      <c r="G191">
        <v>86.75</v>
      </c>
      <c r="H191">
        <v>84</v>
      </c>
      <c r="I191">
        <v>90.25</v>
      </c>
      <c r="J191" t="s">
        <v>311</v>
      </c>
      <c r="K191" t="s">
        <v>308</v>
      </c>
    </row>
    <row r="192" spans="1:11">
      <c r="A192">
        <v>2017</v>
      </c>
      <c r="B192" s="25">
        <v>97.2</v>
      </c>
      <c r="C192" s="25">
        <v>84.55</v>
      </c>
      <c r="D192" s="1">
        <v>0</v>
      </c>
      <c r="E192" s="1">
        <v>0</v>
      </c>
      <c r="F192" s="1">
        <v>1</v>
      </c>
      <c r="G192">
        <v>91.5</v>
      </c>
      <c r="H192">
        <v>93.25</v>
      </c>
      <c r="I192">
        <v>95.5</v>
      </c>
      <c r="J192" t="s">
        <v>310</v>
      </c>
      <c r="K192" t="s">
        <v>308</v>
      </c>
    </row>
    <row r="193" spans="1:11">
      <c r="A193">
        <v>2017</v>
      </c>
      <c r="B193" s="25">
        <v>89.4</v>
      </c>
      <c r="C193" s="25">
        <v>66.69</v>
      </c>
      <c r="D193" s="1">
        <v>0</v>
      </c>
      <c r="E193" s="1">
        <v>0</v>
      </c>
      <c r="F193" s="1">
        <v>1</v>
      </c>
      <c r="G193">
        <v>86.75</v>
      </c>
      <c r="H193">
        <v>84</v>
      </c>
      <c r="I193">
        <v>84</v>
      </c>
      <c r="J193" t="s">
        <v>311</v>
      </c>
      <c r="K193" t="s">
        <v>308</v>
      </c>
    </row>
    <row r="194" spans="1:11">
      <c r="A194">
        <v>2017</v>
      </c>
      <c r="B194" s="25">
        <v>94.6</v>
      </c>
      <c r="C194" s="25">
        <v>78.375</v>
      </c>
      <c r="D194" s="1">
        <v>0</v>
      </c>
      <c r="E194" s="1">
        <v>0</v>
      </c>
      <c r="F194" s="1">
        <v>1</v>
      </c>
      <c r="G194">
        <v>86.75</v>
      </c>
      <c r="H194">
        <v>84</v>
      </c>
      <c r="I194">
        <v>90.25</v>
      </c>
      <c r="J194" t="s">
        <v>311</v>
      </c>
      <c r="K194" t="s">
        <v>308</v>
      </c>
    </row>
    <row r="195" spans="1:11">
      <c r="A195">
        <v>2017</v>
      </c>
      <c r="B195" s="25">
        <v>94.6</v>
      </c>
      <c r="C195" s="25">
        <v>84.929999999999993</v>
      </c>
      <c r="D195" s="1">
        <v>0</v>
      </c>
      <c r="E195" s="1">
        <v>0</v>
      </c>
      <c r="F195" s="1">
        <v>1</v>
      </c>
      <c r="G195">
        <v>86.75</v>
      </c>
      <c r="H195">
        <v>84</v>
      </c>
      <c r="I195">
        <v>90.25</v>
      </c>
      <c r="J195" t="s">
        <v>311</v>
      </c>
      <c r="K195" t="s">
        <v>308</v>
      </c>
    </row>
    <row r="196" spans="1:11">
      <c r="A196">
        <v>2017</v>
      </c>
      <c r="B196" s="25">
        <v>92.2</v>
      </c>
      <c r="C196" s="25">
        <v>71.25</v>
      </c>
      <c r="D196" s="1">
        <v>0</v>
      </c>
      <c r="E196" s="1">
        <v>0</v>
      </c>
      <c r="F196" s="1">
        <v>1</v>
      </c>
      <c r="G196">
        <v>86.75</v>
      </c>
      <c r="H196">
        <v>84</v>
      </c>
      <c r="I196">
        <v>90.25</v>
      </c>
      <c r="J196" t="s">
        <v>311</v>
      </c>
      <c r="K196" t="s">
        <v>308</v>
      </c>
    </row>
    <row r="197" spans="1:11">
      <c r="A197">
        <v>2017</v>
      </c>
      <c r="B197" s="25">
        <v>93.6</v>
      </c>
      <c r="C197" s="25">
        <v>68.171999999999997</v>
      </c>
      <c r="D197" s="1">
        <v>0</v>
      </c>
      <c r="E197" s="1">
        <v>0</v>
      </c>
      <c r="F197" s="1">
        <v>1</v>
      </c>
      <c r="G197">
        <v>86.75</v>
      </c>
      <c r="H197">
        <v>84</v>
      </c>
      <c r="I197">
        <v>90.25</v>
      </c>
      <c r="J197" t="s">
        <v>311</v>
      </c>
      <c r="K197" t="s">
        <v>308</v>
      </c>
    </row>
    <row r="198" spans="1:11">
      <c r="A198">
        <v>2017</v>
      </c>
      <c r="B198" s="25">
        <v>90.2</v>
      </c>
      <c r="C198" s="25">
        <v>74.099999999999994</v>
      </c>
      <c r="D198" s="1">
        <v>0</v>
      </c>
      <c r="E198" s="1">
        <v>0</v>
      </c>
      <c r="F198" s="1">
        <v>1</v>
      </c>
      <c r="G198">
        <v>86.75</v>
      </c>
      <c r="H198">
        <v>84</v>
      </c>
      <c r="I198">
        <v>84</v>
      </c>
      <c r="J198" t="s">
        <v>311</v>
      </c>
      <c r="K198" t="s">
        <v>308</v>
      </c>
    </row>
    <row r="199" spans="1:11">
      <c r="A199">
        <v>2017</v>
      </c>
      <c r="B199" s="25">
        <v>98.4</v>
      </c>
      <c r="C199" s="25">
        <v>84.929999999999993</v>
      </c>
      <c r="D199" s="1">
        <v>0</v>
      </c>
      <c r="E199" s="1">
        <v>0</v>
      </c>
      <c r="F199" s="1">
        <v>1</v>
      </c>
      <c r="G199">
        <v>96.75</v>
      </c>
      <c r="H199">
        <v>97</v>
      </c>
      <c r="I199">
        <v>97.75</v>
      </c>
      <c r="J199" t="s">
        <v>309</v>
      </c>
      <c r="K199" t="s">
        <v>308</v>
      </c>
    </row>
    <row r="200" spans="1:11">
      <c r="A200">
        <v>2017</v>
      </c>
      <c r="B200" s="25">
        <v>96</v>
      </c>
      <c r="C200" s="25">
        <v>84.455000000000013</v>
      </c>
      <c r="D200" s="1">
        <v>0</v>
      </c>
      <c r="E200" s="1">
        <v>0</v>
      </c>
      <c r="F200" s="1">
        <v>1</v>
      </c>
      <c r="G200">
        <v>91.5</v>
      </c>
      <c r="H200">
        <v>93.25</v>
      </c>
      <c r="I200">
        <v>95.5</v>
      </c>
      <c r="J200" t="s">
        <v>310</v>
      </c>
      <c r="K200" t="s">
        <v>308</v>
      </c>
    </row>
    <row r="201" spans="1:11">
      <c r="A201">
        <v>2017</v>
      </c>
      <c r="B201" s="25">
        <v>71.2</v>
      </c>
      <c r="C201" s="25">
        <v>67.45</v>
      </c>
      <c r="D201" s="1">
        <v>0</v>
      </c>
      <c r="E201" s="1">
        <v>0</v>
      </c>
      <c r="F201" s="1">
        <v>1</v>
      </c>
      <c r="K201" t="s">
        <v>308</v>
      </c>
    </row>
    <row r="202" spans="1:11">
      <c r="A202">
        <v>2017</v>
      </c>
      <c r="B202" s="25">
        <v>71.2</v>
      </c>
      <c r="C202" s="25">
        <v>67.45</v>
      </c>
      <c r="D202" s="1">
        <v>0</v>
      </c>
      <c r="E202" s="1">
        <v>0</v>
      </c>
      <c r="F202" s="1">
        <v>1</v>
      </c>
      <c r="K202" t="s">
        <v>308</v>
      </c>
    </row>
    <row r="203" spans="1:11">
      <c r="A203">
        <v>2017</v>
      </c>
      <c r="B203" s="25">
        <v>93</v>
      </c>
      <c r="C203" s="25">
        <v>64.125</v>
      </c>
      <c r="D203" s="1">
        <v>0</v>
      </c>
      <c r="E203" s="1">
        <v>0</v>
      </c>
      <c r="F203" s="1">
        <v>1</v>
      </c>
      <c r="G203">
        <v>86.75</v>
      </c>
      <c r="H203">
        <v>84</v>
      </c>
      <c r="I203">
        <v>90.25</v>
      </c>
      <c r="J203" t="s">
        <v>311</v>
      </c>
      <c r="K203" t="s">
        <v>308</v>
      </c>
    </row>
    <row r="204" spans="1:11">
      <c r="A204">
        <v>2017</v>
      </c>
      <c r="B204" s="25">
        <v>96</v>
      </c>
      <c r="C204" s="25">
        <v>70.480499999999992</v>
      </c>
      <c r="D204" s="1">
        <v>0</v>
      </c>
      <c r="E204" s="1">
        <v>0</v>
      </c>
      <c r="F204" s="1">
        <v>1</v>
      </c>
      <c r="G204">
        <v>91.5</v>
      </c>
      <c r="H204">
        <v>93.25</v>
      </c>
      <c r="I204">
        <v>95.5</v>
      </c>
      <c r="J204" t="s">
        <v>310</v>
      </c>
      <c r="K204" t="s">
        <v>308</v>
      </c>
    </row>
    <row r="205" spans="1:11">
      <c r="A205">
        <v>2017</v>
      </c>
      <c r="B205" s="25">
        <v>94.8</v>
      </c>
      <c r="C205" s="25">
        <v>86.165000000000006</v>
      </c>
      <c r="D205" s="1">
        <v>0</v>
      </c>
      <c r="E205" s="1">
        <v>0</v>
      </c>
      <c r="F205" s="1">
        <v>1</v>
      </c>
      <c r="G205">
        <v>86.75</v>
      </c>
      <c r="H205">
        <v>84</v>
      </c>
      <c r="I205">
        <v>90.25</v>
      </c>
      <c r="J205" t="s">
        <v>311</v>
      </c>
      <c r="K205" t="s">
        <v>308</v>
      </c>
    </row>
    <row r="206" spans="1:11">
      <c r="A206">
        <v>2017</v>
      </c>
      <c r="B206" s="25">
        <v>98.4</v>
      </c>
      <c r="C206" s="25">
        <v>89.091000000000008</v>
      </c>
      <c r="D206" s="1">
        <v>0</v>
      </c>
      <c r="E206" s="1">
        <v>0</v>
      </c>
      <c r="F206" s="1">
        <v>1</v>
      </c>
      <c r="G206">
        <v>96.75</v>
      </c>
      <c r="H206">
        <v>97</v>
      </c>
      <c r="I206">
        <v>97.75</v>
      </c>
      <c r="J206" t="s">
        <v>309</v>
      </c>
      <c r="K206" t="s">
        <v>308</v>
      </c>
    </row>
    <row r="207" spans="1:11">
      <c r="A207">
        <v>2017</v>
      </c>
      <c r="B207" s="25">
        <v>96.2</v>
      </c>
      <c r="C207" s="25">
        <v>86.830000000000013</v>
      </c>
      <c r="D207" s="1">
        <v>0</v>
      </c>
      <c r="E207" s="1">
        <v>0</v>
      </c>
      <c r="F207" s="1">
        <v>1</v>
      </c>
      <c r="G207">
        <v>91.5</v>
      </c>
      <c r="H207">
        <v>93.25</v>
      </c>
      <c r="I207">
        <v>95.5</v>
      </c>
      <c r="J207" t="s">
        <v>310</v>
      </c>
      <c r="K207" t="s">
        <v>308</v>
      </c>
    </row>
    <row r="208" spans="1:11">
      <c r="A208">
        <v>2017</v>
      </c>
      <c r="B208" s="25">
        <v>91.6</v>
      </c>
      <c r="C208" s="25">
        <v>73.055000000000007</v>
      </c>
      <c r="D208" s="1">
        <v>0</v>
      </c>
      <c r="E208" s="1">
        <v>0</v>
      </c>
      <c r="F208" s="1">
        <v>1</v>
      </c>
      <c r="G208">
        <v>86.75</v>
      </c>
      <c r="H208">
        <v>84</v>
      </c>
      <c r="I208">
        <v>90.25</v>
      </c>
      <c r="J208" t="s">
        <v>311</v>
      </c>
      <c r="K208" t="s">
        <v>308</v>
      </c>
    </row>
    <row r="209" spans="1:11">
      <c r="A209">
        <v>2017</v>
      </c>
      <c r="B209" s="25">
        <v>94</v>
      </c>
      <c r="C209" s="25">
        <v>65.55</v>
      </c>
      <c r="D209" s="1">
        <v>0</v>
      </c>
      <c r="E209" s="1">
        <v>0</v>
      </c>
      <c r="F209" s="1">
        <v>1</v>
      </c>
      <c r="G209">
        <v>86.75</v>
      </c>
      <c r="H209">
        <v>84</v>
      </c>
      <c r="I209">
        <v>90.25</v>
      </c>
      <c r="J209" t="s">
        <v>311</v>
      </c>
      <c r="K209" t="s">
        <v>308</v>
      </c>
    </row>
    <row r="210" spans="1:11">
      <c r="A210">
        <v>2017</v>
      </c>
      <c r="B210" s="25">
        <v>91.6</v>
      </c>
      <c r="C210" s="25">
        <v>73.055000000000007</v>
      </c>
      <c r="D210" s="1">
        <v>0</v>
      </c>
      <c r="E210" s="1">
        <v>0</v>
      </c>
      <c r="F210" s="1">
        <v>1</v>
      </c>
      <c r="G210">
        <v>86.75</v>
      </c>
      <c r="H210">
        <v>84</v>
      </c>
      <c r="I210">
        <v>90.25</v>
      </c>
      <c r="J210" t="s">
        <v>311</v>
      </c>
      <c r="K210" t="s">
        <v>308</v>
      </c>
    </row>
    <row r="211" spans="1:11">
      <c r="A211">
        <v>2017</v>
      </c>
      <c r="B211" s="25">
        <v>97.2</v>
      </c>
      <c r="C211" s="25">
        <v>88.064999999999998</v>
      </c>
      <c r="D211" s="1">
        <v>0</v>
      </c>
      <c r="E211" s="1">
        <v>0</v>
      </c>
      <c r="F211" s="1">
        <v>1</v>
      </c>
      <c r="G211">
        <v>91.5</v>
      </c>
      <c r="H211">
        <v>93.25</v>
      </c>
      <c r="I211">
        <v>95.5</v>
      </c>
      <c r="J211" t="s">
        <v>310</v>
      </c>
      <c r="K211" t="s">
        <v>308</v>
      </c>
    </row>
    <row r="212" spans="1:11">
      <c r="A212">
        <v>2018</v>
      </c>
      <c r="B212" s="23">
        <v>95.8</v>
      </c>
      <c r="C212" s="23">
        <v>76.95</v>
      </c>
      <c r="D212" s="7">
        <v>1</v>
      </c>
      <c r="E212" s="1">
        <v>0</v>
      </c>
      <c r="F212" s="1">
        <v>0</v>
      </c>
      <c r="G212">
        <v>92.75</v>
      </c>
      <c r="H212">
        <v>93.75</v>
      </c>
      <c r="I212">
        <v>96</v>
      </c>
      <c r="J212" t="s">
        <v>310</v>
      </c>
      <c r="K212" t="s">
        <v>306</v>
      </c>
    </row>
    <row r="213" spans="1:11">
      <c r="A213">
        <v>2018</v>
      </c>
      <c r="B213" s="23">
        <v>94.4</v>
      </c>
      <c r="C213" s="23">
        <v>83.314999999999998</v>
      </c>
      <c r="D213" s="7">
        <v>1</v>
      </c>
      <c r="E213" s="1">
        <v>0</v>
      </c>
      <c r="F213" s="1">
        <v>0</v>
      </c>
      <c r="G213">
        <v>92.75</v>
      </c>
      <c r="H213">
        <v>93.75</v>
      </c>
      <c r="I213">
        <v>96</v>
      </c>
      <c r="J213" t="s">
        <v>310</v>
      </c>
      <c r="K213" t="s">
        <v>306</v>
      </c>
    </row>
    <row r="214" spans="1:11">
      <c r="A214">
        <v>2018</v>
      </c>
      <c r="B214" s="23">
        <v>93.2</v>
      </c>
      <c r="C214" s="23">
        <v>80.844999999999999</v>
      </c>
      <c r="D214" s="7">
        <v>1</v>
      </c>
      <c r="E214" s="1">
        <v>0</v>
      </c>
      <c r="F214" s="1">
        <v>0</v>
      </c>
      <c r="G214">
        <v>92.75</v>
      </c>
      <c r="H214">
        <v>93.75</v>
      </c>
      <c r="I214">
        <v>96</v>
      </c>
      <c r="J214" t="s">
        <v>310</v>
      </c>
      <c r="K214" t="s">
        <v>306</v>
      </c>
    </row>
    <row r="215" spans="1:11">
      <c r="A215">
        <v>2018</v>
      </c>
      <c r="B215" s="23">
        <v>85.5</v>
      </c>
      <c r="C215" s="23">
        <v>61</v>
      </c>
      <c r="D215" s="7">
        <v>1</v>
      </c>
      <c r="E215" s="1">
        <v>0</v>
      </c>
      <c r="F215" s="1">
        <v>0</v>
      </c>
      <c r="G215">
        <v>84.25</v>
      </c>
      <c r="H215">
        <v>90</v>
      </c>
      <c r="I215">
        <v>89.25</v>
      </c>
      <c r="J215" t="s">
        <v>312</v>
      </c>
      <c r="K215" t="s">
        <v>306</v>
      </c>
    </row>
    <row r="216" spans="1:11">
      <c r="A216">
        <v>2018</v>
      </c>
      <c r="B216" s="23">
        <v>96.4</v>
      </c>
      <c r="C216" s="23">
        <v>69.064999999999998</v>
      </c>
      <c r="D216" s="7">
        <v>1</v>
      </c>
      <c r="E216" s="1">
        <v>0</v>
      </c>
      <c r="F216" s="1">
        <v>0</v>
      </c>
      <c r="G216">
        <v>92.75</v>
      </c>
      <c r="H216">
        <v>93.75</v>
      </c>
      <c r="I216">
        <v>96</v>
      </c>
      <c r="J216" t="s">
        <v>310</v>
      </c>
      <c r="K216" t="s">
        <v>306</v>
      </c>
    </row>
    <row r="217" spans="1:11">
      <c r="A217">
        <v>2018</v>
      </c>
      <c r="B217" s="23">
        <v>0.94199999999999995</v>
      </c>
      <c r="C217" s="23">
        <v>80.94</v>
      </c>
      <c r="D217" s="7">
        <v>1</v>
      </c>
      <c r="E217" s="1">
        <v>0</v>
      </c>
      <c r="F217" s="1">
        <v>0</v>
      </c>
      <c r="K217" t="s">
        <v>306</v>
      </c>
    </row>
    <row r="218" spans="1:11">
      <c r="A218">
        <v>2018</v>
      </c>
      <c r="B218" s="23">
        <v>93.2</v>
      </c>
      <c r="C218" s="23">
        <v>80.084999999999994</v>
      </c>
      <c r="D218" s="7">
        <v>1</v>
      </c>
      <c r="E218" s="1">
        <v>0</v>
      </c>
      <c r="F218" s="1">
        <v>0</v>
      </c>
      <c r="G218">
        <v>92.75</v>
      </c>
      <c r="H218">
        <v>93.75</v>
      </c>
      <c r="I218">
        <v>96</v>
      </c>
      <c r="J218" t="s">
        <v>310</v>
      </c>
      <c r="K218" t="s">
        <v>306</v>
      </c>
    </row>
    <row r="219" spans="1:11">
      <c r="A219">
        <v>2018</v>
      </c>
      <c r="B219" s="23">
        <v>90.8</v>
      </c>
      <c r="C219" s="23">
        <v>79.705000000000013</v>
      </c>
      <c r="D219" s="7">
        <v>1</v>
      </c>
      <c r="E219" s="1">
        <v>0</v>
      </c>
      <c r="F219" s="1">
        <v>0</v>
      </c>
      <c r="G219">
        <v>88.75</v>
      </c>
      <c r="H219">
        <v>90.75</v>
      </c>
      <c r="I219">
        <v>93.75</v>
      </c>
      <c r="J219" t="s">
        <v>311</v>
      </c>
      <c r="K219" t="s">
        <v>306</v>
      </c>
    </row>
    <row r="220" spans="1:11">
      <c r="A220">
        <v>2018</v>
      </c>
      <c r="B220" s="23">
        <v>97</v>
      </c>
      <c r="C220" s="23">
        <v>86.830000000000013</v>
      </c>
      <c r="D220" s="7">
        <v>1</v>
      </c>
      <c r="E220" s="1">
        <v>0</v>
      </c>
      <c r="F220" s="1">
        <v>0</v>
      </c>
      <c r="G220">
        <v>96.75</v>
      </c>
      <c r="H220">
        <v>97.25</v>
      </c>
      <c r="I220">
        <v>98.25</v>
      </c>
      <c r="J220" t="s">
        <v>309</v>
      </c>
      <c r="K220" t="s">
        <v>306</v>
      </c>
    </row>
    <row r="221" spans="1:11">
      <c r="A221">
        <v>2018</v>
      </c>
      <c r="B221" s="23">
        <v>0.95599999999999996</v>
      </c>
      <c r="C221" s="23">
        <v>74.954999999999998</v>
      </c>
      <c r="D221" s="7">
        <v>1</v>
      </c>
      <c r="E221" s="1">
        <v>0</v>
      </c>
      <c r="F221" s="1">
        <v>0</v>
      </c>
      <c r="K221" t="s">
        <v>306</v>
      </c>
    </row>
    <row r="222" spans="1:11">
      <c r="A222">
        <v>2018</v>
      </c>
      <c r="B222" s="23">
        <v>96.8</v>
      </c>
      <c r="C222" s="23">
        <v>88.710999999999999</v>
      </c>
      <c r="D222" s="7">
        <v>1</v>
      </c>
      <c r="E222" s="1">
        <v>0</v>
      </c>
      <c r="F222" s="1">
        <v>0</v>
      </c>
      <c r="G222">
        <v>96.75</v>
      </c>
      <c r="H222">
        <v>97.25</v>
      </c>
      <c r="I222">
        <v>98.25</v>
      </c>
      <c r="J222" t="s">
        <v>309</v>
      </c>
      <c r="K222" t="s">
        <v>306</v>
      </c>
    </row>
    <row r="223" spans="1:11">
      <c r="A223">
        <v>2018</v>
      </c>
      <c r="B223" s="23">
        <v>97</v>
      </c>
      <c r="C223" s="23">
        <v>87.941499999999991</v>
      </c>
      <c r="D223" s="7">
        <v>1</v>
      </c>
      <c r="E223" s="1">
        <v>0</v>
      </c>
      <c r="F223" s="1">
        <v>0</v>
      </c>
      <c r="G223">
        <v>96.75</v>
      </c>
      <c r="H223">
        <v>97.25</v>
      </c>
      <c r="I223">
        <v>98.25</v>
      </c>
      <c r="J223" t="s">
        <v>309</v>
      </c>
      <c r="K223" t="s">
        <v>306</v>
      </c>
    </row>
    <row r="224" spans="1:11">
      <c r="A224">
        <v>2018</v>
      </c>
      <c r="B224" s="23">
        <v>89.8</v>
      </c>
      <c r="C224" s="23">
        <v>69.73</v>
      </c>
      <c r="D224" s="7">
        <v>1</v>
      </c>
      <c r="E224" s="1">
        <v>0</v>
      </c>
      <c r="F224" s="1">
        <v>0</v>
      </c>
      <c r="G224">
        <v>88.75</v>
      </c>
      <c r="H224">
        <v>90.75</v>
      </c>
      <c r="I224">
        <v>93.75</v>
      </c>
      <c r="J224" t="s">
        <v>311</v>
      </c>
      <c r="K224" t="s">
        <v>306</v>
      </c>
    </row>
    <row r="225" spans="1:11">
      <c r="A225">
        <v>2018</v>
      </c>
      <c r="B225" s="23">
        <v>87</v>
      </c>
      <c r="C225" s="23">
        <v>79.894999999999996</v>
      </c>
      <c r="D225" s="7">
        <v>1</v>
      </c>
      <c r="E225" s="1">
        <v>0</v>
      </c>
      <c r="F225" s="1">
        <v>0</v>
      </c>
      <c r="G225">
        <v>84.25</v>
      </c>
      <c r="H225">
        <v>90</v>
      </c>
      <c r="I225">
        <v>89.25</v>
      </c>
      <c r="J225" t="s">
        <v>312</v>
      </c>
      <c r="K225" t="s">
        <v>306</v>
      </c>
    </row>
    <row r="226" spans="1:11">
      <c r="A226">
        <v>2018</v>
      </c>
      <c r="B226" s="23">
        <v>93</v>
      </c>
      <c r="C226" s="23">
        <v>79.040000000000006</v>
      </c>
      <c r="D226" s="7">
        <v>1</v>
      </c>
      <c r="E226" s="1">
        <v>0</v>
      </c>
      <c r="F226" s="1">
        <v>0</v>
      </c>
      <c r="G226">
        <v>92.75</v>
      </c>
      <c r="H226">
        <v>93.75</v>
      </c>
      <c r="I226">
        <v>96</v>
      </c>
      <c r="J226" t="s">
        <v>310</v>
      </c>
      <c r="K226" t="s">
        <v>306</v>
      </c>
    </row>
    <row r="227" spans="1:11">
      <c r="A227">
        <v>2018</v>
      </c>
      <c r="B227" s="23">
        <v>94.4</v>
      </c>
      <c r="C227" s="23">
        <v>83.923000000000002</v>
      </c>
      <c r="D227" s="7">
        <v>1</v>
      </c>
      <c r="E227" s="1">
        <v>0</v>
      </c>
      <c r="F227" s="1">
        <v>0</v>
      </c>
      <c r="G227">
        <v>92.75</v>
      </c>
      <c r="H227">
        <v>93.75</v>
      </c>
      <c r="I227">
        <v>96</v>
      </c>
      <c r="J227" t="s">
        <v>310</v>
      </c>
      <c r="K227" t="s">
        <v>306</v>
      </c>
    </row>
    <row r="228" spans="1:11">
      <c r="A228">
        <v>2018</v>
      </c>
      <c r="B228" s="23">
        <v>84.8</v>
      </c>
      <c r="C228" s="23">
        <v>59.185000000000002</v>
      </c>
      <c r="D228" s="7">
        <v>1</v>
      </c>
      <c r="E228" s="1">
        <v>0</v>
      </c>
      <c r="F228" s="1">
        <v>0</v>
      </c>
      <c r="G228">
        <v>84.25</v>
      </c>
      <c r="H228">
        <v>90</v>
      </c>
      <c r="I228">
        <v>89.25</v>
      </c>
      <c r="J228" t="s">
        <v>312</v>
      </c>
      <c r="K228" t="s">
        <v>306</v>
      </c>
    </row>
    <row r="229" spans="1:11">
      <c r="A229">
        <v>2018</v>
      </c>
      <c r="B229" s="23">
        <v>87.75</v>
      </c>
      <c r="C229" s="23">
        <v>75.715000000000003</v>
      </c>
      <c r="D229" s="7">
        <v>1</v>
      </c>
      <c r="E229" s="1">
        <v>0</v>
      </c>
      <c r="F229" s="1">
        <v>0</v>
      </c>
      <c r="G229">
        <v>84.25</v>
      </c>
      <c r="H229">
        <v>90</v>
      </c>
      <c r="I229">
        <v>89.25</v>
      </c>
      <c r="J229" t="s">
        <v>312</v>
      </c>
      <c r="K229" t="s">
        <v>306</v>
      </c>
    </row>
    <row r="230" spans="1:11">
      <c r="A230">
        <v>2018</v>
      </c>
      <c r="B230" s="23">
        <v>92</v>
      </c>
      <c r="C230" s="23">
        <v>81.605000000000004</v>
      </c>
      <c r="D230" s="7">
        <v>1</v>
      </c>
      <c r="E230" s="1">
        <v>0</v>
      </c>
      <c r="F230" s="1">
        <v>0</v>
      </c>
      <c r="G230">
        <v>88.75</v>
      </c>
      <c r="H230">
        <v>90.75</v>
      </c>
      <c r="I230">
        <v>93.75</v>
      </c>
      <c r="J230" t="s">
        <v>311</v>
      </c>
      <c r="K230" t="s">
        <v>306</v>
      </c>
    </row>
    <row r="231" spans="1:11">
      <c r="A231">
        <v>2018</v>
      </c>
      <c r="B231" s="23">
        <v>94.4</v>
      </c>
      <c r="C231" s="23">
        <v>78.308500000000009</v>
      </c>
      <c r="D231" s="1">
        <v>0</v>
      </c>
      <c r="E231" s="1">
        <v>1</v>
      </c>
      <c r="F231" s="1">
        <v>0</v>
      </c>
      <c r="G231">
        <v>92.75</v>
      </c>
      <c r="H231">
        <v>93.75</v>
      </c>
      <c r="I231">
        <v>96</v>
      </c>
      <c r="J231" t="s">
        <v>310</v>
      </c>
      <c r="K231" t="s">
        <v>307</v>
      </c>
    </row>
    <row r="232" spans="1:11">
      <c r="A232">
        <v>2018</v>
      </c>
      <c r="B232" s="23">
        <v>95.6</v>
      </c>
      <c r="C232" s="23">
        <v>87.4285</v>
      </c>
      <c r="D232" s="1">
        <v>0</v>
      </c>
      <c r="E232" s="1">
        <v>1</v>
      </c>
      <c r="F232" s="1">
        <v>0</v>
      </c>
      <c r="G232">
        <v>92.75</v>
      </c>
      <c r="H232">
        <v>93.75</v>
      </c>
      <c r="I232">
        <v>96</v>
      </c>
      <c r="J232" t="s">
        <v>310</v>
      </c>
      <c r="K232" t="s">
        <v>307</v>
      </c>
    </row>
    <row r="233" spans="1:11">
      <c r="A233">
        <v>2018</v>
      </c>
      <c r="B233" s="23">
        <v>97.25</v>
      </c>
      <c r="C233" s="23">
        <v>76.513000000000005</v>
      </c>
      <c r="D233" s="1">
        <v>0</v>
      </c>
      <c r="E233" s="1">
        <v>1</v>
      </c>
      <c r="F233" s="1">
        <v>0</v>
      </c>
      <c r="G233">
        <v>96.75</v>
      </c>
      <c r="H233">
        <v>97.25</v>
      </c>
      <c r="I233">
        <v>98.25</v>
      </c>
      <c r="J233" t="s">
        <v>309</v>
      </c>
      <c r="K233" t="s">
        <v>307</v>
      </c>
    </row>
    <row r="234" spans="1:11">
      <c r="A234">
        <v>2018</v>
      </c>
      <c r="B234" s="23">
        <v>88.6</v>
      </c>
      <c r="C234" s="23">
        <v>77.52</v>
      </c>
      <c r="D234" s="1">
        <v>0</v>
      </c>
      <c r="E234" s="1">
        <v>1</v>
      </c>
      <c r="F234" s="1">
        <v>0</v>
      </c>
      <c r="K234" t="s">
        <v>307</v>
      </c>
    </row>
    <row r="235" spans="1:11">
      <c r="A235">
        <v>2018</v>
      </c>
      <c r="B235" s="23">
        <v>97.6</v>
      </c>
      <c r="C235" s="23">
        <v>84.217500000000001</v>
      </c>
      <c r="D235" s="1">
        <v>0</v>
      </c>
      <c r="E235" s="1">
        <v>1</v>
      </c>
      <c r="F235" s="1">
        <v>0</v>
      </c>
      <c r="G235">
        <v>96.75</v>
      </c>
      <c r="H235">
        <v>97.25</v>
      </c>
      <c r="I235">
        <v>98.25</v>
      </c>
      <c r="J235" t="s">
        <v>309</v>
      </c>
      <c r="K235" t="s">
        <v>307</v>
      </c>
    </row>
    <row r="236" spans="1:11">
      <c r="A236">
        <v>2018</v>
      </c>
      <c r="B236" s="23">
        <v>97.4</v>
      </c>
      <c r="C236" s="23">
        <v>78.850000000000009</v>
      </c>
      <c r="D236" s="1">
        <v>0</v>
      </c>
      <c r="E236" s="1">
        <v>1</v>
      </c>
      <c r="F236" s="1">
        <v>0</v>
      </c>
      <c r="G236">
        <v>96.75</v>
      </c>
      <c r="H236">
        <v>97.25</v>
      </c>
      <c r="I236">
        <v>98.25</v>
      </c>
      <c r="J236" t="s">
        <v>309</v>
      </c>
      <c r="K236" t="s">
        <v>307</v>
      </c>
    </row>
    <row r="237" spans="1:11">
      <c r="A237">
        <v>2018</v>
      </c>
      <c r="B237" s="23">
        <v>91.6</v>
      </c>
      <c r="C237" s="23">
        <v>75.097499999999997</v>
      </c>
      <c r="D237" s="1">
        <v>0</v>
      </c>
      <c r="E237" s="1">
        <v>1</v>
      </c>
      <c r="F237" s="1">
        <v>0</v>
      </c>
      <c r="G237">
        <v>88.75</v>
      </c>
      <c r="H237">
        <v>90.75</v>
      </c>
      <c r="I237">
        <v>93.75</v>
      </c>
      <c r="J237" t="s">
        <v>311</v>
      </c>
      <c r="K237" t="s">
        <v>307</v>
      </c>
    </row>
    <row r="238" spans="1:11">
      <c r="A238">
        <v>2018</v>
      </c>
      <c r="B238" s="23">
        <v>90.4</v>
      </c>
      <c r="C238" s="23">
        <v>64.599999999999994</v>
      </c>
      <c r="D238" s="1">
        <v>0</v>
      </c>
      <c r="E238" s="1">
        <v>1</v>
      </c>
      <c r="F238" s="1">
        <v>0</v>
      </c>
      <c r="G238">
        <v>84.25</v>
      </c>
      <c r="H238">
        <v>90</v>
      </c>
      <c r="I238">
        <v>89.25</v>
      </c>
      <c r="J238" t="s">
        <v>312</v>
      </c>
      <c r="K238" t="s">
        <v>307</v>
      </c>
    </row>
    <row r="239" spans="1:11">
      <c r="A239">
        <v>2018</v>
      </c>
      <c r="B239" s="23">
        <v>91.4</v>
      </c>
      <c r="C239" s="23">
        <v>61.236999999999995</v>
      </c>
      <c r="D239" s="1">
        <v>0</v>
      </c>
      <c r="E239" s="1">
        <v>1</v>
      </c>
      <c r="F239" s="1">
        <v>0</v>
      </c>
      <c r="G239">
        <v>88.75</v>
      </c>
      <c r="H239">
        <v>90.75</v>
      </c>
      <c r="I239">
        <v>93.75</v>
      </c>
      <c r="J239" t="s">
        <v>311</v>
      </c>
      <c r="K239" t="s">
        <v>307</v>
      </c>
    </row>
    <row r="240" spans="1:11">
      <c r="A240">
        <v>2018</v>
      </c>
      <c r="B240" s="23">
        <v>87.6</v>
      </c>
      <c r="C240" s="23">
        <v>79.894999999999996</v>
      </c>
      <c r="D240" s="1">
        <v>0</v>
      </c>
      <c r="E240" s="1">
        <v>0</v>
      </c>
      <c r="F240" s="1">
        <v>1</v>
      </c>
      <c r="K240" t="s">
        <v>308</v>
      </c>
    </row>
    <row r="241" spans="1:11">
      <c r="A241">
        <v>2018</v>
      </c>
      <c r="B241" s="23">
        <v>97.6</v>
      </c>
      <c r="C241" s="23">
        <v>88.064999999999998</v>
      </c>
      <c r="D241" s="1">
        <v>0</v>
      </c>
      <c r="E241" s="1">
        <v>0</v>
      </c>
      <c r="F241" s="1">
        <v>1</v>
      </c>
      <c r="G241">
        <v>92.75</v>
      </c>
      <c r="H241">
        <v>93.75</v>
      </c>
      <c r="I241">
        <v>96</v>
      </c>
      <c r="J241" t="s">
        <v>310</v>
      </c>
      <c r="K241" t="s">
        <v>308</v>
      </c>
    </row>
    <row r="242" spans="1:11">
      <c r="A242">
        <v>2018</v>
      </c>
      <c r="B242" s="23">
        <v>98.2</v>
      </c>
      <c r="C242" s="23">
        <v>89.394999999999996</v>
      </c>
      <c r="D242" s="1">
        <v>0</v>
      </c>
      <c r="E242" s="1">
        <v>0</v>
      </c>
      <c r="F242" s="1">
        <v>1</v>
      </c>
      <c r="G242">
        <v>92.75</v>
      </c>
      <c r="H242">
        <v>93.75</v>
      </c>
      <c r="I242">
        <v>96</v>
      </c>
      <c r="J242" t="s">
        <v>310</v>
      </c>
      <c r="K242" t="s">
        <v>308</v>
      </c>
    </row>
    <row r="243" spans="1:11">
      <c r="A243">
        <v>2018</v>
      </c>
      <c r="B243" s="23">
        <v>97.4</v>
      </c>
      <c r="C243" s="23">
        <v>89.679999999999993</v>
      </c>
      <c r="D243" s="1">
        <v>0</v>
      </c>
      <c r="E243" s="1">
        <v>0</v>
      </c>
      <c r="F243" s="1">
        <v>1</v>
      </c>
      <c r="G243">
        <v>92.75</v>
      </c>
      <c r="H243">
        <v>93.75</v>
      </c>
      <c r="I243">
        <v>96</v>
      </c>
      <c r="J243" t="s">
        <v>310</v>
      </c>
      <c r="K243" t="s">
        <v>308</v>
      </c>
    </row>
    <row r="244" spans="1:11">
      <c r="A244">
        <v>2018</v>
      </c>
      <c r="B244" s="23">
        <v>91.6</v>
      </c>
      <c r="C244" s="23">
        <v>81.034999999999997</v>
      </c>
      <c r="D244" s="1">
        <v>0</v>
      </c>
      <c r="E244" s="1">
        <v>0</v>
      </c>
      <c r="F244" s="1">
        <v>1</v>
      </c>
      <c r="G244">
        <v>84.25</v>
      </c>
      <c r="H244">
        <v>90</v>
      </c>
      <c r="I244">
        <v>89.25</v>
      </c>
      <c r="J244" t="s">
        <v>312</v>
      </c>
      <c r="K244" t="s">
        <v>308</v>
      </c>
    </row>
    <row r="245" spans="1:11">
      <c r="A245">
        <v>2018</v>
      </c>
      <c r="B245" s="23">
        <v>98.4</v>
      </c>
      <c r="C245" s="23">
        <v>92.814999999999998</v>
      </c>
      <c r="D245" s="1">
        <v>0</v>
      </c>
      <c r="E245" s="1">
        <v>0</v>
      </c>
      <c r="F245" s="1">
        <v>1</v>
      </c>
      <c r="G245">
        <v>96.75</v>
      </c>
      <c r="H245">
        <v>97.25</v>
      </c>
      <c r="I245">
        <v>98.25</v>
      </c>
      <c r="J245" t="s">
        <v>309</v>
      </c>
      <c r="K245" t="s">
        <v>308</v>
      </c>
    </row>
    <row r="246" spans="1:11">
      <c r="A246">
        <v>2018</v>
      </c>
      <c r="B246" s="23">
        <v>96.2</v>
      </c>
      <c r="C246" s="23">
        <v>91.105000000000004</v>
      </c>
      <c r="D246" s="1">
        <v>0</v>
      </c>
      <c r="E246" s="1">
        <v>0</v>
      </c>
      <c r="F246" s="1">
        <v>1</v>
      </c>
      <c r="G246">
        <v>92.75</v>
      </c>
      <c r="H246">
        <v>93.75</v>
      </c>
      <c r="I246">
        <v>96</v>
      </c>
      <c r="J246" t="s">
        <v>310</v>
      </c>
      <c r="K246" t="s">
        <v>308</v>
      </c>
    </row>
    <row r="247" spans="1:11">
      <c r="A247">
        <v>2018</v>
      </c>
      <c r="B247" s="23">
        <v>95.2</v>
      </c>
      <c r="C247" s="23">
        <v>74.67</v>
      </c>
      <c r="D247" s="1">
        <v>0</v>
      </c>
      <c r="E247" s="1">
        <v>0</v>
      </c>
      <c r="F247" s="1">
        <v>1</v>
      </c>
      <c r="G247">
        <v>88.75</v>
      </c>
      <c r="H247">
        <v>90.75</v>
      </c>
      <c r="I247">
        <v>93.75</v>
      </c>
      <c r="J247" t="s">
        <v>311</v>
      </c>
      <c r="K247" t="s">
        <v>308</v>
      </c>
    </row>
    <row r="248" spans="1:11">
      <c r="A248">
        <v>2018</v>
      </c>
      <c r="B248" s="23">
        <v>96.8</v>
      </c>
      <c r="C248" s="23">
        <v>83.314999999999998</v>
      </c>
      <c r="D248" s="1">
        <v>0</v>
      </c>
      <c r="E248" s="1">
        <v>0</v>
      </c>
      <c r="F248" s="1">
        <v>1</v>
      </c>
      <c r="G248">
        <v>92.75</v>
      </c>
      <c r="H248">
        <v>93.75</v>
      </c>
      <c r="I248">
        <v>96</v>
      </c>
      <c r="J248" t="s">
        <v>310</v>
      </c>
      <c r="K248" t="s">
        <v>308</v>
      </c>
    </row>
    <row r="249" spans="1:11">
      <c r="A249">
        <v>2018</v>
      </c>
      <c r="B249" s="23">
        <v>94.2</v>
      </c>
      <c r="C249" s="23">
        <v>87.295500000000004</v>
      </c>
      <c r="D249" s="1">
        <v>0</v>
      </c>
      <c r="E249" s="1">
        <v>0</v>
      </c>
      <c r="F249" s="1">
        <v>1</v>
      </c>
      <c r="G249">
        <v>88.75</v>
      </c>
      <c r="H249">
        <v>90.75</v>
      </c>
      <c r="I249">
        <v>93.75</v>
      </c>
      <c r="J249" t="s">
        <v>311</v>
      </c>
      <c r="K249" t="s">
        <v>308</v>
      </c>
    </row>
    <row r="250" spans="1:11">
      <c r="A250">
        <v>2018</v>
      </c>
      <c r="B250" s="23">
        <v>95.4</v>
      </c>
      <c r="C250" s="23">
        <v>76.094999999999999</v>
      </c>
      <c r="D250" s="1">
        <v>0</v>
      </c>
      <c r="E250" s="1">
        <v>0</v>
      </c>
      <c r="F250" s="1">
        <v>1</v>
      </c>
      <c r="G250">
        <v>88.75</v>
      </c>
      <c r="H250">
        <v>90.75</v>
      </c>
      <c r="I250">
        <v>93.75</v>
      </c>
      <c r="J250" t="s">
        <v>311</v>
      </c>
      <c r="K250" t="s">
        <v>308</v>
      </c>
    </row>
    <row r="251" spans="1:11">
      <c r="A251">
        <v>2018</v>
      </c>
      <c r="B251" s="23">
        <v>70.599999999999994</v>
      </c>
      <c r="C251" s="23">
        <v>74.290000000000006</v>
      </c>
      <c r="D251" s="1">
        <v>0</v>
      </c>
      <c r="E251" s="1">
        <v>0</v>
      </c>
      <c r="F251" s="1">
        <v>1</v>
      </c>
      <c r="K251" t="s">
        <v>308</v>
      </c>
    </row>
    <row r="252" spans="1:11">
      <c r="A252">
        <v>2018</v>
      </c>
      <c r="B252" s="23">
        <v>97.8</v>
      </c>
      <c r="C252" s="23">
        <v>86.26</v>
      </c>
      <c r="D252" s="1">
        <v>0</v>
      </c>
      <c r="E252" s="1">
        <v>0</v>
      </c>
      <c r="F252" s="1">
        <v>1</v>
      </c>
      <c r="G252">
        <v>92.75</v>
      </c>
      <c r="H252">
        <v>93.75</v>
      </c>
      <c r="I252">
        <v>96</v>
      </c>
      <c r="J252" t="s">
        <v>310</v>
      </c>
      <c r="K252" t="s">
        <v>308</v>
      </c>
    </row>
    <row r="253" spans="1:11">
      <c r="A253">
        <v>2018</v>
      </c>
      <c r="B253" s="23">
        <v>94.8</v>
      </c>
      <c r="C253" s="23">
        <v>77.795500000000004</v>
      </c>
      <c r="D253" s="1">
        <v>0</v>
      </c>
      <c r="E253" s="1">
        <v>0</v>
      </c>
      <c r="F253" s="1">
        <v>1</v>
      </c>
      <c r="G253">
        <v>88.75</v>
      </c>
      <c r="H253">
        <v>90.75</v>
      </c>
      <c r="I253">
        <v>93.75</v>
      </c>
      <c r="J253" t="s">
        <v>311</v>
      </c>
      <c r="K253" t="s">
        <v>308</v>
      </c>
    </row>
    <row r="254" spans="1:11">
      <c r="A254">
        <v>2018</v>
      </c>
      <c r="B254" s="23">
        <v>0.94399999999999995</v>
      </c>
      <c r="C254" s="23">
        <v>72.484999999999999</v>
      </c>
      <c r="D254" s="1">
        <v>0</v>
      </c>
      <c r="E254" s="1">
        <v>0</v>
      </c>
      <c r="F254" s="1">
        <v>1</v>
      </c>
      <c r="K254" t="s">
        <v>308</v>
      </c>
    </row>
    <row r="255" spans="1:11">
      <c r="A255">
        <v>2018</v>
      </c>
      <c r="B255" s="23">
        <v>95.6</v>
      </c>
      <c r="C255" s="23">
        <v>80.103999999999999</v>
      </c>
      <c r="D255" s="1">
        <v>0</v>
      </c>
      <c r="E255" s="1">
        <v>0</v>
      </c>
      <c r="F255" s="1">
        <v>1</v>
      </c>
      <c r="G255">
        <v>88.75</v>
      </c>
      <c r="H255">
        <v>90.75</v>
      </c>
      <c r="I255">
        <v>93.75</v>
      </c>
      <c r="J255" t="s">
        <v>311</v>
      </c>
      <c r="K255" t="s">
        <v>308</v>
      </c>
    </row>
    <row r="256" spans="1:11">
      <c r="A256">
        <v>2018</v>
      </c>
      <c r="B256" s="23">
        <v>96</v>
      </c>
      <c r="C256" s="23">
        <v>80.844999999999999</v>
      </c>
      <c r="D256" s="1">
        <v>0</v>
      </c>
      <c r="E256" s="1">
        <v>0</v>
      </c>
      <c r="F256" s="1">
        <v>1</v>
      </c>
      <c r="G256">
        <v>92.75</v>
      </c>
      <c r="H256">
        <v>93.75</v>
      </c>
      <c r="I256">
        <v>96</v>
      </c>
      <c r="J256" t="s">
        <v>310</v>
      </c>
      <c r="K256" t="s">
        <v>308</v>
      </c>
    </row>
    <row r="257" spans="1:11">
      <c r="A257">
        <v>2018</v>
      </c>
      <c r="B257" s="23">
        <v>89.4</v>
      </c>
      <c r="C257" s="27">
        <v>76</v>
      </c>
      <c r="D257" s="1">
        <v>0</v>
      </c>
      <c r="E257" s="1">
        <v>0</v>
      </c>
      <c r="F257" s="1">
        <v>1</v>
      </c>
      <c r="G257">
        <v>84.25</v>
      </c>
      <c r="H257">
        <v>90</v>
      </c>
      <c r="I257">
        <v>89.25</v>
      </c>
      <c r="J257" t="s">
        <v>312</v>
      </c>
      <c r="K257" t="s">
        <v>308</v>
      </c>
    </row>
    <row r="258" spans="1:11">
      <c r="A258">
        <v>2018</v>
      </c>
      <c r="B258" s="23">
        <v>98</v>
      </c>
      <c r="C258" s="23">
        <v>87.685000000000002</v>
      </c>
      <c r="D258" s="1">
        <v>0</v>
      </c>
      <c r="E258" s="1">
        <v>0</v>
      </c>
      <c r="F258" s="1">
        <v>1</v>
      </c>
      <c r="G258">
        <v>92.75</v>
      </c>
      <c r="H258">
        <v>93.75</v>
      </c>
      <c r="I258">
        <v>96</v>
      </c>
      <c r="J258" t="s">
        <v>310</v>
      </c>
      <c r="K258" t="s">
        <v>308</v>
      </c>
    </row>
    <row r="259" spans="1:11">
      <c r="A259">
        <v>2018</v>
      </c>
      <c r="B259" s="23">
        <v>99.2</v>
      </c>
      <c r="C259" s="23">
        <v>87.685000000000002</v>
      </c>
      <c r="D259" s="1">
        <v>0</v>
      </c>
      <c r="E259" s="1">
        <v>0</v>
      </c>
      <c r="F259" s="1">
        <v>1</v>
      </c>
      <c r="G259">
        <v>96.75</v>
      </c>
      <c r="H259">
        <v>97.25</v>
      </c>
      <c r="I259">
        <v>98.25</v>
      </c>
      <c r="J259" t="s">
        <v>309</v>
      </c>
      <c r="K259" t="s">
        <v>308</v>
      </c>
    </row>
    <row r="260" spans="1:11">
      <c r="A260">
        <v>2018</v>
      </c>
      <c r="B260" s="23">
        <v>94.8</v>
      </c>
      <c r="C260" s="23">
        <v>89.679999999999993</v>
      </c>
      <c r="D260" s="1">
        <v>0</v>
      </c>
      <c r="E260" s="1">
        <v>0</v>
      </c>
      <c r="F260" s="1">
        <v>1</v>
      </c>
      <c r="G260">
        <v>88.75</v>
      </c>
      <c r="H260">
        <v>90.75</v>
      </c>
      <c r="I260">
        <v>93.75</v>
      </c>
      <c r="J260" t="s">
        <v>311</v>
      </c>
      <c r="K260" t="s">
        <v>308</v>
      </c>
    </row>
    <row r="261" spans="1:11">
      <c r="A261">
        <v>2018</v>
      </c>
      <c r="B261" s="23">
        <v>97.8</v>
      </c>
      <c r="C261" s="23">
        <v>89.860500000000002</v>
      </c>
      <c r="D261" s="1">
        <v>0</v>
      </c>
      <c r="E261" s="1">
        <v>0</v>
      </c>
      <c r="F261" s="1">
        <v>1</v>
      </c>
      <c r="G261">
        <v>92.75</v>
      </c>
      <c r="H261">
        <v>93.75</v>
      </c>
      <c r="I261">
        <v>96</v>
      </c>
      <c r="J261" t="s">
        <v>310</v>
      </c>
      <c r="K261" t="s">
        <v>308</v>
      </c>
    </row>
    <row r="262" spans="1:11">
      <c r="A262">
        <v>2018</v>
      </c>
      <c r="B262" s="23">
        <v>95</v>
      </c>
      <c r="C262" s="23">
        <v>81.889999999999986</v>
      </c>
      <c r="D262" s="1">
        <v>0</v>
      </c>
      <c r="E262" s="1">
        <v>0</v>
      </c>
      <c r="F262" s="1">
        <v>1</v>
      </c>
      <c r="G262">
        <v>88.75</v>
      </c>
      <c r="H262">
        <v>90.75</v>
      </c>
      <c r="I262">
        <v>93.75</v>
      </c>
      <c r="J262" t="s">
        <v>311</v>
      </c>
      <c r="K262" t="s">
        <v>308</v>
      </c>
    </row>
    <row r="263" spans="1:11">
      <c r="A263">
        <v>2018</v>
      </c>
      <c r="B263" s="23">
        <v>0.84599999999999997</v>
      </c>
      <c r="C263" s="23">
        <v>63.08</v>
      </c>
      <c r="D263" s="1">
        <v>0</v>
      </c>
      <c r="E263" s="1">
        <v>0</v>
      </c>
      <c r="F263" s="1">
        <v>1</v>
      </c>
      <c r="K263" t="s">
        <v>308</v>
      </c>
    </row>
    <row r="264" spans="1:11">
      <c r="A264">
        <v>2018</v>
      </c>
      <c r="B264" s="23">
        <v>95.4</v>
      </c>
      <c r="C264" s="23">
        <v>81.415000000000006</v>
      </c>
      <c r="D264" s="1">
        <v>0</v>
      </c>
      <c r="E264" s="1">
        <v>0</v>
      </c>
      <c r="F264" s="1">
        <v>1</v>
      </c>
      <c r="G264">
        <v>88.75</v>
      </c>
      <c r="H264">
        <v>90.75</v>
      </c>
      <c r="I264">
        <v>93.75</v>
      </c>
      <c r="J264" t="s">
        <v>311</v>
      </c>
      <c r="K264" t="s">
        <v>308</v>
      </c>
    </row>
    <row r="265" spans="1:11">
      <c r="A265">
        <v>2018</v>
      </c>
      <c r="B265" s="23">
        <v>97.2</v>
      </c>
      <c r="C265" s="23">
        <v>86.52600000000001</v>
      </c>
      <c r="D265" s="1">
        <v>0</v>
      </c>
      <c r="E265" s="1">
        <v>0</v>
      </c>
      <c r="F265" s="1">
        <v>1</v>
      </c>
      <c r="G265">
        <v>92.75</v>
      </c>
      <c r="H265">
        <v>93.75</v>
      </c>
      <c r="I265">
        <v>96</v>
      </c>
      <c r="J265" t="s">
        <v>310</v>
      </c>
      <c r="K265" t="s">
        <v>308</v>
      </c>
    </row>
    <row r="266" spans="1:11">
      <c r="A266">
        <v>2018</v>
      </c>
      <c r="B266" s="23">
        <v>98.4</v>
      </c>
      <c r="C266" s="23">
        <v>91.038499999999999</v>
      </c>
      <c r="D266" s="1">
        <v>0</v>
      </c>
      <c r="E266" s="1">
        <v>0</v>
      </c>
      <c r="F266" s="1">
        <v>1</v>
      </c>
      <c r="G266">
        <v>96.75</v>
      </c>
      <c r="H266">
        <v>97.25</v>
      </c>
      <c r="I266">
        <v>98.25</v>
      </c>
      <c r="J266" t="s">
        <v>309</v>
      </c>
      <c r="K266" t="s">
        <v>308</v>
      </c>
    </row>
    <row r="267" spans="1:11">
      <c r="A267">
        <v>2018</v>
      </c>
      <c r="B267" s="23">
        <v>90.8</v>
      </c>
      <c r="C267" s="23">
        <v>72.864999999999995</v>
      </c>
      <c r="D267" s="1">
        <v>0</v>
      </c>
      <c r="E267" s="1">
        <v>0</v>
      </c>
      <c r="F267" s="1">
        <v>1</v>
      </c>
      <c r="G267">
        <v>84.25</v>
      </c>
      <c r="H267">
        <v>90</v>
      </c>
      <c r="I267">
        <v>89.25</v>
      </c>
      <c r="J267" t="s">
        <v>312</v>
      </c>
      <c r="K267" t="s">
        <v>308</v>
      </c>
    </row>
    <row r="268" spans="1:11">
      <c r="E268" s="11"/>
      <c r="F268" s="11"/>
    </row>
    <row r="269" spans="1:11">
      <c r="E269" s="11"/>
      <c r="F269" s="11"/>
    </row>
  </sheetData>
  <sortState xmlns:xlrd2="http://schemas.microsoft.com/office/spreadsheetml/2017/richdata2" ref="A2:I267">
    <sortCondition ref="A2:A267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FDD94-D7A9-4BA6-9DA2-AEB713008AE1}">
  <sheetPr codeName="Sheet3"/>
  <dimension ref="A1:V243"/>
  <sheetViews>
    <sheetView tabSelected="1" topLeftCell="N1" workbookViewId="0">
      <selection activeCell="N17" sqref="N17"/>
    </sheetView>
  </sheetViews>
  <sheetFormatPr defaultRowHeight="14.4"/>
  <sheetData>
    <row r="1" spans="1:22">
      <c r="A1" s="16" t="s">
        <v>300</v>
      </c>
      <c r="B1" s="16" t="s">
        <v>302</v>
      </c>
      <c r="C1" s="16" t="s">
        <v>303</v>
      </c>
      <c r="D1" s="16" t="s">
        <v>306</v>
      </c>
      <c r="E1" s="16" t="s">
        <v>307</v>
      </c>
      <c r="F1" s="16" t="s">
        <v>308</v>
      </c>
      <c r="G1" s="16" t="s">
        <v>314</v>
      </c>
      <c r="H1" s="16" t="s">
        <v>304</v>
      </c>
      <c r="I1" s="16" t="s">
        <v>305</v>
      </c>
      <c r="J1" s="16" t="s">
        <v>313</v>
      </c>
      <c r="K1" s="16" t="s">
        <v>301</v>
      </c>
      <c r="L1" s="16" t="s">
        <v>315</v>
      </c>
    </row>
    <row r="2" spans="1:22">
      <c r="A2">
        <f t="shared" ref="A2:A42" si="0">2019-5</f>
        <v>2014</v>
      </c>
      <c r="B2" s="21">
        <v>95.6</v>
      </c>
      <c r="C2" s="21">
        <v>82.11</v>
      </c>
      <c r="D2" s="3">
        <v>1</v>
      </c>
      <c r="E2" s="1">
        <v>0</v>
      </c>
      <c r="F2" s="1">
        <v>0</v>
      </c>
    </row>
    <row r="3" spans="1:22">
      <c r="A3">
        <f t="shared" si="0"/>
        <v>2014</v>
      </c>
      <c r="B3" s="21">
        <v>94.8</v>
      </c>
      <c r="C3" s="21">
        <v>75.760000000000005</v>
      </c>
      <c r="D3" s="3">
        <v>1</v>
      </c>
      <c r="E3" s="1">
        <v>0</v>
      </c>
      <c r="F3" s="1">
        <v>0</v>
      </c>
    </row>
    <row r="4" spans="1:22">
      <c r="A4">
        <f t="shared" si="0"/>
        <v>2014</v>
      </c>
      <c r="B4" s="21">
        <v>96.2</v>
      </c>
      <c r="C4" s="21">
        <v>61.274999999999999</v>
      </c>
      <c r="D4" s="3">
        <v>1</v>
      </c>
      <c r="E4" s="1">
        <v>0</v>
      </c>
      <c r="F4" s="1">
        <v>0</v>
      </c>
      <c r="O4" s="16" t="s">
        <v>301</v>
      </c>
      <c r="P4" s="16" t="s">
        <v>313</v>
      </c>
      <c r="Q4" s="16">
        <v>2008</v>
      </c>
      <c r="R4" s="16">
        <v>2014</v>
      </c>
      <c r="S4" s="16">
        <v>2015</v>
      </c>
      <c r="T4" s="16">
        <v>2016</v>
      </c>
      <c r="U4" s="16">
        <v>2017</v>
      </c>
      <c r="V4" s="16">
        <v>2018</v>
      </c>
    </row>
    <row r="5" spans="1:22">
      <c r="A5">
        <f t="shared" si="0"/>
        <v>2014</v>
      </c>
      <c r="B5" s="21">
        <v>96.2</v>
      </c>
      <c r="C5" s="21">
        <v>84.08</v>
      </c>
      <c r="D5" s="3">
        <v>1</v>
      </c>
      <c r="E5" s="1">
        <v>0</v>
      </c>
      <c r="F5" s="1">
        <v>0</v>
      </c>
      <c r="N5">
        <v>1</v>
      </c>
      <c r="O5" s="16" t="s">
        <v>91</v>
      </c>
      <c r="P5" s="16" t="s">
        <v>309</v>
      </c>
      <c r="R5">
        <v>97.25</v>
      </c>
      <c r="S5">
        <v>97.5</v>
      </c>
      <c r="T5">
        <v>96.25</v>
      </c>
      <c r="U5">
        <v>96.75</v>
      </c>
      <c r="V5">
        <v>96.75</v>
      </c>
    </row>
    <row r="6" spans="1:22">
      <c r="A6">
        <f t="shared" si="0"/>
        <v>2014</v>
      </c>
      <c r="B6" s="21">
        <v>97</v>
      </c>
      <c r="C6" s="21">
        <v>87.72</v>
      </c>
      <c r="D6" s="3">
        <v>1</v>
      </c>
      <c r="E6" s="1">
        <v>0</v>
      </c>
      <c r="F6" s="1">
        <v>0</v>
      </c>
      <c r="N6">
        <v>2</v>
      </c>
      <c r="O6" s="16" t="s">
        <v>91</v>
      </c>
      <c r="P6" s="16" t="s">
        <v>310</v>
      </c>
      <c r="R6">
        <v>95</v>
      </c>
      <c r="S6">
        <v>95</v>
      </c>
      <c r="T6">
        <v>93</v>
      </c>
      <c r="U6">
        <v>91.5</v>
      </c>
      <c r="V6">
        <v>92.75</v>
      </c>
    </row>
    <row r="7" spans="1:22">
      <c r="A7">
        <f t="shared" si="0"/>
        <v>2014</v>
      </c>
      <c r="B7" s="21">
        <v>94</v>
      </c>
      <c r="C7" s="21">
        <v>81.150000000000006</v>
      </c>
      <c r="D7" s="3">
        <v>1</v>
      </c>
      <c r="E7" s="1">
        <v>0</v>
      </c>
      <c r="F7" s="1">
        <v>0</v>
      </c>
      <c r="N7">
        <v>3</v>
      </c>
      <c r="O7" s="16" t="s">
        <v>91</v>
      </c>
      <c r="P7" s="16" t="s">
        <v>311</v>
      </c>
      <c r="R7">
        <v>92</v>
      </c>
      <c r="S7">
        <v>94</v>
      </c>
      <c r="T7">
        <v>84</v>
      </c>
      <c r="U7">
        <v>86.75</v>
      </c>
      <c r="V7">
        <v>88.75</v>
      </c>
    </row>
    <row r="8" spans="1:22">
      <c r="A8">
        <f t="shared" si="0"/>
        <v>2014</v>
      </c>
      <c r="B8" s="21">
        <v>86.6</v>
      </c>
      <c r="C8" s="21">
        <v>74.239999999999995</v>
      </c>
      <c r="D8" s="3">
        <v>1</v>
      </c>
      <c r="E8" s="1">
        <v>0</v>
      </c>
      <c r="F8" s="1">
        <v>0</v>
      </c>
      <c r="N8">
        <v>4</v>
      </c>
      <c r="O8" s="16" t="s">
        <v>91</v>
      </c>
      <c r="P8" s="16" t="s">
        <v>312</v>
      </c>
      <c r="R8">
        <v>90</v>
      </c>
      <c r="S8">
        <v>92</v>
      </c>
      <c r="T8">
        <v>74</v>
      </c>
      <c r="U8">
        <v>79</v>
      </c>
      <c r="V8">
        <v>84.25</v>
      </c>
    </row>
    <row r="9" spans="1:22">
      <c r="A9">
        <f t="shared" si="0"/>
        <v>2014</v>
      </c>
      <c r="B9" s="21">
        <v>94</v>
      </c>
      <c r="C9" s="21">
        <v>79.52</v>
      </c>
      <c r="D9" s="3">
        <v>1</v>
      </c>
      <c r="E9" s="1">
        <v>0</v>
      </c>
      <c r="F9" s="1">
        <v>0</v>
      </c>
      <c r="N9">
        <v>1</v>
      </c>
      <c r="O9" s="16" t="s">
        <v>307</v>
      </c>
      <c r="P9" s="16" t="s">
        <v>309</v>
      </c>
      <c r="R9">
        <v>96.75</v>
      </c>
      <c r="S9">
        <v>97.5</v>
      </c>
      <c r="T9">
        <v>96.5</v>
      </c>
      <c r="U9">
        <v>97</v>
      </c>
      <c r="V9">
        <v>97.25</v>
      </c>
    </row>
    <row r="10" spans="1:22">
      <c r="A10">
        <f t="shared" si="0"/>
        <v>2014</v>
      </c>
      <c r="B10" s="21">
        <v>90.5</v>
      </c>
      <c r="C10" s="21">
        <v>69.599999999999994</v>
      </c>
      <c r="D10" s="3">
        <v>1</v>
      </c>
      <c r="E10" s="1">
        <v>0</v>
      </c>
      <c r="F10" s="1">
        <v>0</v>
      </c>
      <c r="N10">
        <v>2</v>
      </c>
      <c r="O10" s="16" t="s">
        <v>307</v>
      </c>
      <c r="P10" s="16" t="s">
        <v>310</v>
      </c>
      <c r="R10">
        <v>95</v>
      </c>
      <c r="S10">
        <v>95</v>
      </c>
      <c r="T10">
        <v>92.25</v>
      </c>
      <c r="U10">
        <v>93.25</v>
      </c>
      <c r="V10">
        <v>93.75</v>
      </c>
    </row>
    <row r="11" spans="1:22">
      <c r="A11">
        <f t="shared" si="0"/>
        <v>2014</v>
      </c>
      <c r="B11" s="21">
        <v>94.6</v>
      </c>
      <c r="C11" s="21">
        <v>80.56</v>
      </c>
      <c r="D11" s="3">
        <v>1</v>
      </c>
      <c r="E11" s="1">
        <v>0</v>
      </c>
      <c r="F11" s="1">
        <v>0</v>
      </c>
      <c r="N11">
        <v>3</v>
      </c>
      <c r="O11" s="16" t="s">
        <v>307</v>
      </c>
      <c r="P11" s="16" t="s">
        <v>311</v>
      </c>
      <c r="R11">
        <v>93</v>
      </c>
      <c r="S11">
        <v>93</v>
      </c>
      <c r="T11">
        <v>86</v>
      </c>
      <c r="U11">
        <v>84</v>
      </c>
      <c r="V11">
        <v>90.75</v>
      </c>
    </row>
    <row r="12" spans="1:22">
      <c r="A12">
        <f t="shared" si="0"/>
        <v>2014</v>
      </c>
      <c r="B12" s="21">
        <v>95</v>
      </c>
      <c r="C12" s="21">
        <v>72.680000000000007</v>
      </c>
      <c r="D12" s="3">
        <v>1</v>
      </c>
      <c r="E12" s="1">
        <v>0</v>
      </c>
      <c r="F12" s="1">
        <v>0</v>
      </c>
      <c r="N12">
        <v>4</v>
      </c>
      <c r="O12" s="16" t="s">
        <v>307</v>
      </c>
      <c r="P12" s="16" t="s">
        <v>312</v>
      </c>
      <c r="R12">
        <v>91.25</v>
      </c>
      <c r="S12">
        <v>91.5</v>
      </c>
      <c r="T12">
        <v>79</v>
      </c>
      <c r="U12">
        <v>83</v>
      </c>
      <c r="V12">
        <v>90</v>
      </c>
    </row>
    <row r="13" spans="1:22">
      <c r="A13">
        <f t="shared" si="0"/>
        <v>2014</v>
      </c>
      <c r="B13" s="21">
        <v>96</v>
      </c>
      <c r="C13" s="21">
        <v>86.88</v>
      </c>
      <c r="D13" s="3">
        <v>1</v>
      </c>
      <c r="E13" s="1">
        <v>0</v>
      </c>
      <c r="F13" s="1">
        <v>0</v>
      </c>
      <c r="N13">
        <v>1</v>
      </c>
      <c r="O13" s="16" t="s">
        <v>308</v>
      </c>
      <c r="P13" s="16" t="s">
        <v>309</v>
      </c>
      <c r="R13">
        <v>98.25</v>
      </c>
      <c r="S13">
        <v>97.75</v>
      </c>
      <c r="T13">
        <v>97.25</v>
      </c>
      <c r="U13">
        <v>97.75</v>
      </c>
      <c r="V13">
        <v>98.25</v>
      </c>
    </row>
    <row r="14" spans="1:22">
      <c r="A14">
        <f t="shared" si="0"/>
        <v>2014</v>
      </c>
      <c r="B14" s="21">
        <v>96.2</v>
      </c>
      <c r="C14" s="21">
        <v>84.11</v>
      </c>
      <c r="D14" s="3">
        <v>0</v>
      </c>
      <c r="E14" s="1">
        <v>1</v>
      </c>
      <c r="F14" s="1">
        <v>0</v>
      </c>
      <c r="N14">
        <v>2</v>
      </c>
      <c r="O14" s="16" t="s">
        <v>308</v>
      </c>
      <c r="P14" s="16" t="s">
        <v>310</v>
      </c>
      <c r="R14">
        <v>96.5</v>
      </c>
      <c r="S14">
        <v>95.62</v>
      </c>
      <c r="T14">
        <v>94.25</v>
      </c>
      <c r="U14">
        <v>95.5</v>
      </c>
      <c r="V14">
        <v>96</v>
      </c>
    </row>
    <row r="15" spans="1:22">
      <c r="A15">
        <f t="shared" si="0"/>
        <v>2014</v>
      </c>
      <c r="B15" s="21">
        <v>94.4</v>
      </c>
      <c r="C15" s="21">
        <v>81.239999999999995</v>
      </c>
      <c r="D15" s="1">
        <v>0</v>
      </c>
      <c r="E15" s="1">
        <v>1</v>
      </c>
      <c r="F15" s="1">
        <v>0</v>
      </c>
      <c r="N15">
        <v>3</v>
      </c>
      <c r="O15" s="16" t="s">
        <v>308</v>
      </c>
      <c r="P15" s="16" t="s">
        <v>311</v>
      </c>
      <c r="R15">
        <v>95.25</v>
      </c>
      <c r="S15">
        <v>94.32</v>
      </c>
      <c r="T15">
        <v>93.25</v>
      </c>
      <c r="U15">
        <v>90.25</v>
      </c>
      <c r="V15">
        <v>93.75</v>
      </c>
    </row>
    <row r="16" spans="1:22">
      <c r="A16">
        <f t="shared" si="0"/>
        <v>2014</v>
      </c>
      <c r="B16" s="21">
        <v>96.4</v>
      </c>
      <c r="C16" s="21">
        <v>83.38</v>
      </c>
      <c r="D16" s="1">
        <v>0</v>
      </c>
      <c r="E16" s="1">
        <v>1</v>
      </c>
      <c r="F16" s="1">
        <v>0</v>
      </c>
      <c r="N16">
        <v>4</v>
      </c>
      <c r="O16" s="16" t="s">
        <v>308</v>
      </c>
      <c r="P16" s="16" t="s">
        <v>312</v>
      </c>
      <c r="R16">
        <v>90.5</v>
      </c>
      <c r="S16">
        <v>92.25</v>
      </c>
      <c r="T16">
        <v>75</v>
      </c>
      <c r="U16">
        <v>91</v>
      </c>
      <c r="V16">
        <v>89.25</v>
      </c>
    </row>
    <row r="17" spans="1:22">
      <c r="A17">
        <f t="shared" si="0"/>
        <v>2014</v>
      </c>
      <c r="B17" s="21">
        <v>95.75</v>
      </c>
      <c r="C17" s="21">
        <v>77.16</v>
      </c>
      <c r="D17" s="1">
        <v>0</v>
      </c>
      <c r="E17" s="1">
        <v>1</v>
      </c>
      <c r="F17" s="1">
        <v>0</v>
      </c>
    </row>
    <row r="18" spans="1:22">
      <c r="A18">
        <f t="shared" si="0"/>
        <v>2014</v>
      </c>
      <c r="B18" s="21">
        <v>90.4</v>
      </c>
      <c r="C18" s="21">
        <v>71.28</v>
      </c>
      <c r="D18" s="1">
        <v>0</v>
      </c>
      <c r="E18" s="1">
        <v>1</v>
      </c>
      <c r="F18" s="1">
        <v>0</v>
      </c>
    </row>
    <row r="19" spans="1:22">
      <c r="A19">
        <f t="shared" si="0"/>
        <v>2014</v>
      </c>
      <c r="B19" s="21">
        <v>94.8</v>
      </c>
      <c r="C19" s="21">
        <v>74.16</v>
      </c>
      <c r="D19" s="1">
        <v>0</v>
      </c>
      <c r="E19" s="1">
        <v>1</v>
      </c>
      <c r="F19" s="1">
        <v>0</v>
      </c>
    </row>
    <row r="20" spans="1:22">
      <c r="A20">
        <f t="shared" si="0"/>
        <v>2014</v>
      </c>
      <c r="B20" s="21">
        <v>93.6</v>
      </c>
      <c r="C20" s="21">
        <v>77.36</v>
      </c>
      <c r="D20" s="1">
        <v>0</v>
      </c>
      <c r="E20" s="1">
        <v>1</v>
      </c>
      <c r="F20" s="1">
        <v>0</v>
      </c>
    </row>
    <row r="21" spans="1:22">
      <c r="A21">
        <f t="shared" si="0"/>
        <v>2014</v>
      </c>
      <c r="B21" s="21">
        <v>97.5</v>
      </c>
      <c r="C21" s="21">
        <v>85.46</v>
      </c>
      <c r="D21" s="1">
        <v>0</v>
      </c>
      <c r="E21" s="1">
        <v>0</v>
      </c>
      <c r="F21" s="1">
        <v>1</v>
      </c>
    </row>
    <row r="22" spans="1:22">
      <c r="A22">
        <f t="shared" si="0"/>
        <v>2014</v>
      </c>
      <c r="B22" s="21">
        <v>95.25</v>
      </c>
      <c r="C22" s="21">
        <v>72.959999999999994</v>
      </c>
      <c r="D22" s="1">
        <v>0</v>
      </c>
      <c r="E22" s="1">
        <v>0</v>
      </c>
      <c r="F22" s="1">
        <v>1</v>
      </c>
    </row>
    <row r="23" spans="1:22">
      <c r="A23">
        <f t="shared" si="0"/>
        <v>2014</v>
      </c>
      <c r="B23" s="21">
        <v>97</v>
      </c>
      <c r="C23" s="21">
        <v>86.48</v>
      </c>
      <c r="D23" s="1">
        <v>0</v>
      </c>
      <c r="E23" s="1">
        <v>0</v>
      </c>
      <c r="F23" s="1">
        <v>1</v>
      </c>
    </row>
    <row r="24" spans="1:22">
      <c r="A24">
        <f t="shared" si="0"/>
        <v>2014</v>
      </c>
      <c r="B24" s="21">
        <v>96.6</v>
      </c>
      <c r="C24" s="21">
        <v>85.68</v>
      </c>
      <c r="D24" s="1">
        <v>0</v>
      </c>
      <c r="E24" s="1">
        <v>0</v>
      </c>
      <c r="F24" s="1">
        <v>1</v>
      </c>
    </row>
    <row r="25" spans="1:22">
      <c r="A25">
        <f t="shared" si="0"/>
        <v>2014</v>
      </c>
      <c r="B25" s="21">
        <v>97</v>
      </c>
      <c r="C25" s="21">
        <v>84.53</v>
      </c>
      <c r="D25" s="1">
        <v>0</v>
      </c>
      <c r="E25" s="1">
        <v>0</v>
      </c>
      <c r="F25" s="1">
        <v>1</v>
      </c>
    </row>
    <row r="26" spans="1:22">
      <c r="A26">
        <f t="shared" si="0"/>
        <v>2014</v>
      </c>
      <c r="B26" s="21">
        <v>96</v>
      </c>
      <c r="C26" s="21">
        <v>76.92</v>
      </c>
      <c r="D26" s="1">
        <v>0</v>
      </c>
      <c r="E26" s="1">
        <v>0</v>
      </c>
      <c r="F26" s="1">
        <v>1</v>
      </c>
    </row>
    <row r="27" spans="1:22">
      <c r="A27">
        <f t="shared" si="0"/>
        <v>2014</v>
      </c>
      <c r="B27" s="21">
        <v>98.4</v>
      </c>
      <c r="C27" s="21">
        <v>86.52</v>
      </c>
      <c r="D27" s="1">
        <v>0</v>
      </c>
      <c r="E27" s="1">
        <v>0</v>
      </c>
      <c r="F27" s="1">
        <v>1</v>
      </c>
    </row>
    <row r="28" spans="1:22">
      <c r="A28">
        <f t="shared" si="0"/>
        <v>2014</v>
      </c>
      <c r="B28" s="21">
        <v>97.4</v>
      </c>
      <c r="C28" s="21">
        <v>84.56</v>
      </c>
      <c r="D28" s="1">
        <v>0</v>
      </c>
      <c r="E28" s="1">
        <v>0</v>
      </c>
      <c r="F28" s="1">
        <v>1</v>
      </c>
      <c r="U28">
        <v>1</v>
      </c>
    </row>
    <row r="29" spans="1:22">
      <c r="A29">
        <f t="shared" si="0"/>
        <v>2014</v>
      </c>
      <c r="B29" s="21">
        <v>97.2</v>
      </c>
      <c r="C29" s="21">
        <v>81.2</v>
      </c>
      <c r="D29" s="1">
        <v>0</v>
      </c>
      <c r="E29" s="1">
        <v>0</v>
      </c>
      <c r="F29" s="1">
        <v>1</v>
      </c>
      <c r="R29">
        <v>1</v>
      </c>
      <c r="T29">
        <v>1</v>
      </c>
      <c r="V29">
        <v>1</v>
      </c>
    </row>
    <row r="30" spans="1:22">
      <c r="A30">
        <f t="shared" si="0"/>
        <v>2014</v>
      </c>
      <c r="B30" s="21">
        <v>96.8</v>
      </c>
      <c r="C30" s="21">
        <v>88.44</v>
      </c>
      <c r="D30" s="1">
        <v>0</v>
      </c>
      <c r="E30" s="1">
        <v>0</v>
      </c>
      <c r="F30" s="1">
        <v>1</v>
      </c>
    </row>
    <row r="31" spans="1:22">
      <c r="A31">
        <f t="shared" si="0"/>
        <v>2014</v>
      </c>
      <c r="B31" s="21">
        <v>97.92</v>
      </c>
      <c r="C31" s="21">
        <v>83.72</v>
      </c>
      <c r="D31" s="1">
        <v>0</v>
      </c>
      <c r="E31" s="1">
        <v>0</v>
      </c>
      <c r="F31" s="1">
        <v>1</v>
      </c>
    </row>
    <row r="32" spans="1:22">
      <c r="A32">
        <f t="shared" si="0"/>
        <v>2014</v>
      </c>
      <c r="B32" s="21">
        <v>97</v>
      </c>
      <c r="C32" s="21">
        <v>84.64</v>
      </c>
      <c r="D32" s="1">
        <v>0</v>
      </c>
      <c r="E32" s="1">
        <v>0</v>
      </c>
      <c r="F32" s="1">
        <v>1</v>
      </c>
    </row>
    <row r="33" spans="1:6">
      <c r="A33">
        <f t="shared" si="0"/>
        <v>2014</v>
      </c>
      <c r="B33" s="21">
        <v>98.25</v>
      </c>
      <c r="C33" s="21">
        <v>84</v>
      </c>
      <c r="D33" s="1">
        <v>0</v>
      </c>
      <c r="E33" s="1">
        <v>0</v>
      </c>
      <c r="F33" s="1">
        <v>1</v>
      </c>
    </row>
    <row r="34" spans="1:6">
      <c r="A34">
        <f t="shared" si="0"/>
        <v>2014</v>
      </c>
      <c r="B34" s="21">
        <v>95.2</v>
      </c>
      <c r="C34" s="21">
        <v>74.48</v>
      </c>
      <c r="D34" s="1">
        <v>0</v>
      </c>
      <c r="E34" s="1">
        <v>0</v>
      </c>
      <c r="F34" s="1">
        <v>1</v>
      </c>
    </row>
    <row r="35" spans="1:6">
      <c r="A35">
        <f t="shared" si="0"/>
        <v>2014</v>
      </c>
      <c r="B35" s="21">
        <v>92</v>
      </c>
      <c r="C35" s="21">
        <v>74</v>
      </c>
      <c r="D35" s="1">
        <v>0</v>
      </c>
      <c r="E35" s="1">
        <v>0</v>
      </c>
      <c r="F35" s="1">
        <v>1</v>
      </c>
    </row>
    <row r="36" spans="1:6">
      <c r="A36">
        <f t="shared" si="0"/>
        <v>2014</v>
      </c>
      <c r="B36" s="21">
        <v>90.2</v>
      </c>
      <c r="C36" s="21">
        <v>60.46</v>
      </c>
      <c r="D36" s="1">
        <v>0</v>
      </c>
      <c r="E36" s="1">
        <v>0</v>
      </c>
      <c r="F36" s="1">
        <v>1</v>
      </c>
    </row>
    <row r="37" spans="1:6">
      <c r="A37">
        <f t="shared" si="0"/>
        <v>2014</v>
      </c>
      <c r="B37" s="21">
        <v>94</v>
      </c>
      <c r="C37" s="21">
        <v>80.88</v>
      </c>
      <c r="D37" s="1">
        <v>0</v>
      </c>
      <c r="E37" s="1">
        <v>0</v>
      </c>
      <c r="F37" s="1">
        <v>1</v>
      </c>
    </row>
    <row r="38" spans="1:6">
      <c r="A38">
        <f t="shared" si="0"/>
        <v>2014</v>
      </c>
      <c r="B38" s="21">
        <v>96.2</v>
      </c>
      <c r="C38" s="21">
        <v>81.52</v>
      </c>
      <c r="D38" s="1">
        <v>0</v>
      </c>
      <c r="E38" s="1">
        <v>0</v>
      </c>
      <c r="F38" s="1">
        <v>1</v>
      </c>
    </row>
    <row r="39" spans="1:6">
      <c r="A39">
        <f t="shared" si="0"/>
        <v>2014</v>
      </c>
      <c r="B39" s="21">
        <v>97</v>
      </c>
      <c r="C39" s="21">
        <v>86.04</v>
      </c>
      <c r="D39" s="1">
        <v>0</v>
      </c>
      <c r="E39" s="1">
        <v>0</v>
      </c>
      <c r="F39" s="1">
        <v>1</v>
      </c>
    </row>
    <row r="40" spans="1:6">
      <c r="A40">
        <f t="shared" si="0"/>
        <v>2014</v>
      </c>
      <c r="B40" s="21">
        <v>94.4</v>
      </c>
      <c r="C40" s="21">
        <v>76.36</v>
      </c>
      <c r="D40" s="1">
        <v>0</v>
      </c>
      <c r="E40" s="1">
        <v>0</v>
      </c>
      <c r="F40" s="1">
        <v>1</v>
      </c>
    </row>
    <row r="41" spans="1:6">
      <c r="A41">
        <f t="shared" si="0"/>
        <v>2014</v>
      </c>
      <c r="B41" s="21">
        <v>97.2</v>
      </c>
      <c r="C41" s="21">
        <v>87.04</v>
      </c>
      <c r="D41" s="1">
        <v>0</v>
      </c>
      <c r="E41" s="1">
        <v>0</v>
      </c>
      <c r="F41" s="1">
        <v>1</v>
      </c>
    </row>
    <row r="42" spans="1:6">
      <c r="A42">
        <f t="shared" si="0"/>
        <v>2014</v>
      </c>
      <c r="B42" s="21">
        <v>97.6</v>
      </c>
      <c r="C42" s="21">
        <v>84.72</v>
      </c>
      <c r="D42" s="1">
        <v>0</v>
      </c>
      <c r="E42" s="1">
        <v>0</v>
      </c>
      <c r="F42" s="1">
        <v>1</v>
      </c>
    </row>
    <row r="43" spans="1:6">
      <c r="A43">
        <v>2015</v>
      </c>
      <c r="B43" s="24">
        <v>96.2</v>
      </c>
      <c r="C43" s="24">
        <v>85.243500000000012</v>
      </c>
      <c r="D43" s="4">
        <v>1</v>
      </c>
      <c r="E43" s="1">
        <v>0</v>
      </c>
      <c r="F43" s="1">
        <v>0</v>
      </c>
    </row>
    <row r="44" spans="1:6">
      <c r="A44">
        <v>2015</v>
      </c>
      <c r="B44" s="24">
        <v>96</v>
      </c>
      <c r="C44" s="24">
        <v>82.46</v>
      </c>
      <c r="D44" s="4">
        <v>1</v>
      </c>
      <c r="E44" s="1">
        <v>0</v>
      </c>
      <c r="F44" s="1">
        <v>0</v>
      </c>
    </row>
    <row r="45" spans="1:6">
      <c r="A45">
        <v>2015</v>
      </c>
      <c r="B45" s="24">
        <v>83.6</v>
      </c>
      <c r="C45" s="24">
        <v>48.64</v>
      </c>
      <c r="D45" s="4">
        <v>1</v>
      </c>
      <c r="E45" s="1">
        <v>0</v>
      </c>
      <c r="F45" s="1">
        <v>0</v>
      </c>
    </row>
    <row r="46" spans="1:6">
      <c r="A46">
        <v>2015</v>
      </c>
      <c r="B46" s="24">
        <v>96.6</v>
      </c>
      <c r="C46" s="24">
        <v>82.032499999999999</v>
      </c>
      <c r="D46" s="4">
        <v>1</v>
      </c>
      <c r="E46" s="1">
        <v>0</v>
      </c>
      <c r="F46" s="1">
        <v>0</v>
      </c>
    </row>
    <row r="47" spans="1:6">
      <c r="A47">
        <v>2015</v>
      </c>
      <c r="B47" s="24">
        <v>97.2</v>
      </c>
      <c r="C47" s="24">
        <v>72.789000000000001</v>
      </c>
      <c r="D47" s="4">
        <v>1</v>
      </c>
      <c r="E47" s="1">
        <v>0</v>
      </c>
      <c r="F47" s="1">
        <v>0</v>
      </c>
    </row>
    <row r="48" spans="1:6">
      <c r="A48">
        <v>2015</v>
      </c>
      <c r="B48" s="24">
        <v>93.2</v>
      </c>
      <c r="C48" s="24">
        <v>69.834500000000006</v>
      </c>
      <c r="D48" s="4">
        <v>1</v>
      </c>
      <c r="E48" s="1">
        <v>0</v>
      </c>
      <c r="F48" s="1">
        <v>0</v>
      </c>
    </row>
    <row r="49" spans="1:6">
      <c r="A49">
        <v>2015</v>
      </c>
      <c r="B49" s="24">
        <v>97</v>
      </c>
      <c r="C49" s="24">
        <v>79.72399999999999</v>
      </c>
      <c r="D49" s="4">
        <v>1</v>
      </c>
      <c r="E49" s="1">
        <v>0</v>
      </c>
      <c r="F49" s="1">
        <v>0</v>
      </c>
    </row>
    <row r="50" spans="1:6">
      <c r="A50">
        <v>2015</v>
      </c>
      <c r="B50" s="24">
        <v>89</v>
      </c>
      <c r="C50" s="24">
        <v>61.274999999999999</v>
      </c>
      <c r="D50" s="4">
        <v>1</v>
      </c>
      <c r="E50" s="1">
        <v>0</v>
      </c>
      <c r="F50" s="1">
        <v>0</v>
      </c>
    </row>
    <row r="51" spans="1:6">
      <c r="A51">
        <v>2015</v>
      </c>
      <c r="B51" s="24">
        <v>94.2</v>
      </c>
      <c r="C51" s="24">
        <v>71.44</v>
      </c>
      <c r="D51" s="4">
        <v>1</v>
      </c>
      <c r="E51" s="1">
        <v>0</v>
      </c>
      <c r="F51" s="1">
        <v>0</v>
      </c>
    </row>
    <row r="52" spans="1:6">
      <c r="A52">
        <v>2015</v>
      </c>
      <c r="B52" s="24">
        <v>93</v>
      </c>
      <c r="C52" s="24">
        <v>72.39</v>
      </c>
      <c r="D52" s="4">
        <v>1</v>
      </c>
      <c r="E52" s="1">
        <v>0</v>
      </c>
      <c r="F52" s="1">
        <v>0</v>
      </c>
    </row>
    <row r="53" spans="1:6">
      <c r="A53">
        <v>2015</v>
      </c>
      <c r="B53" s="24">
        <v>94.4</v>
      </c>
      <c r="C53" s="24">
        <v>80.274999999999991</v>
      </c>
      <c r="D53" s="4">
        <v>1</v>
      </c>
      <c r="E53" s="1">
        <v>0</v>
      </c>
      <c r="F53" s="1">
        <v>0</v>
      </c>
    </row>
    <row r="54" spans="1:6">
      <c r="A54">
        <v>2015</v>
      </c>
      <c r="B54" s="24">
        <v>0.96599999999999997</v>
      </c>
      <c r="C54" s="24">
        <v>85.024999999999991</v>
      </c>
      <c r="D54" s="1">
        <v>0</v>
      </c>
      <c r="E54" s="1">
        <v>1</v>
      </c>
      <c r="F54" s="1">
        <v>0</v>
      </c>
    </row>
    <row r="55" spans="1:6">
      <c r="A55">
        <v>2015</v>
      </c>
      <c r="B55" s="24" t="s">
        <v>108</v>
      </c>
      <c r="C55" s="24">
        <v>86.013000000000005</v>
      </c>
      <c r="D55" s="1">
        <v>0</v>
      </c>
      <c r="E55" s="1">
        <v>1</v>
      </c>
      <c r="F55" s="1">
        <v>0</v>
      </c>
    </row>
    <row r="56" spans="1:6">
      <c r="A56">
        <v>2015</v>
      </c>
      <c r="B56" s="24">
        <v>96.2</v>
      </c>
      <c r="C56" s="24">
        <v>83.79</v>
      </c>
      <c r="D56" s="1">
        <v>0</v>
      </c>
      <c r="E56" s="1">
        <v>1</v>
      </c>
      <c r="F56" s="1">
        <v>0</v>
      </c>
    </row>
    <row r="57" spans="1:6">
      <c r="A57">
        <v>2015</v>
      </c>
      <c r="B57" s="24">
        <v>92.6</v>
      </c>
      <c r="C57" s="24">
        <v>74.954999999999998</v>
      </c>
      <c r="D57" s="1">
        <v>0</v>
      </c>
      <c r="E57" s="1">
        <v>1</v>
      </c>
      <c r="F57" s="1">
        <v>0</v>
      </c>
    </row>
    <row r="58" spans="1:6">
      <c r="A58">
        <v>2015</v>
      </c>
      <c r="B58" s="24">
        <v>92</v>
      </c>
      <c r="C58" s="24">
        <v>67.013000000000005</v>
      </c>
      <c r="D58" s="1">
        <v>0</v>
      </c>
      <c r="E58" s="1">
        <v>1</v>
      </c>
      <c r="F58" s="1">
        <v>0</v>
      </c>
    </row>
    <row r="59" spans="1:6">
      <c r="A59">
        <v>2015</v>
      </c>
      <c r="B59" s="24">
        <v>96.6</v>
      </c>
      <c r="C59" s="24">
        <v>83.68</v>
      </c>
      <c r="D59" s="1">
        <v>0</v>
      </c>
      <c r="E59" s="1">
        <v>1</v>
      </c>
      <c r="F59" s="1">
        <v>0</v>
      </c>
    </row>
    <row r="60" spans="1:6">
      <c r="A60">
        <v>2015</v>
      </c>
      <c r="B60" s="24">
        <v>0.9425</v>
      </c>
      <c r="C60" s="24">
        <v>74.67</v>
      </c>
      <c r="D60" s="1">
        <v>0</v>
      </c>
      <c r="E60" s="1">
        <v>1</v>
      </c>
      <c r="F60" s="1">
        <v>0</v>
      </c>
    </row>
    <row r="61" spans="1:6">
      <c r="A61">
        <v>2015</v>
      </c>
      <c r="B61" s="24">
        <v>95</v>
      </c>
      <c r="C61" s="24">
        <v>85.632999999999996</v>
      </c>
      <c r="D61" s="1">
        <v>0</v>
      </c>
      <c r="E61" s="1">
        <v>1</v>
      </c>
      <c r="F61" s="1">
        <v>0</v>
      </c>
    </row>
    <row r="62" spans="1:6">
      <c r="A62">
        <v>2015</v>
      </c>
      <c r="B62" s="24">
        <v>89.4</v>
      </c>
      <c r="C62" s="24">
        <v>72.67</v>
      </c>
      <c r="D62" s="1">
        <v>0</v>
      </c>
      <c r="E62" s="1">
        <v>1</v>
      </c>
      <c r="F62" s="1">
        <v>0</v>
      </c>
    </row>
    <row r="63" spans="1:6">
      <c r="A63">
        <v>2015</v>
      </c>
      <c r="B63" s="24">
        <v>96.2</v>
      </c>
      <c r="C63" s="24">
        <v>79.078000000000003</v>
      </c>
      <c r="D63" s="1">
        <v>0</v>
      </c>
      <c r="E63" s="1">
        <v>1</v>
      </c>
      <c r="F63" s="1">
        <v>0</v>
      </c>
    </row>
    <row r="64" spans="1:6">
      <c r="A64">
        <v>2015</v>
      </c>
      <c r="B64" s="24">
        <v>95</v>
      </c>
      <c r="C64" s="24">
        <v>88.967500000000001</v>
      </c>
      <c r="D64" s="1">
        <v>0</v>
      </c>
      <c r="E64" s="1">
        <v>1</v>
      </c>
      <c r="F64" s="1">
        <v>0</v>
      </c>
    </row>
    <row r="65" spans="1:6">
      <c r="A65">
        <v>2015</v>
      </c>
      <c r="B65" s="24">
        <v>90</v>
      </c>
      <c r="C65" s="24">
        <v>77.804999999999993</v>
      </c>
      <c r="D65" s="1">
        <v>0</v>
      </c>
      <c r="E65" s="1">
        <v>1</v>
      </c>
      <c r="F65" s="1">
        <v>0</v>
      </c>
    </row>
    <row r="66" spans="1:6">
      <c r="A66">
        <v>2015</v>
      </c>
      <c r="B66" s="24">
        <v>96.2</v>
      </c>
      <c r="C66" s="24">
        <v>84.986999999999995</v>
      </c>
      <c r="D66" s="1">
        <v>0</v>
      </c>
      <c r="E66" s="1">
        <v>1</v>
      </c>
      <c r="F66" s="1">
        <v>0</v>
      </c>
    </row>
    <row r="67" spans="1:6">
      <c r="A67">
        <v>2015</v>
      </c>
      <c r="B67" s="24">
        <v>93</v>
      </c>
      <c r="C67" s="24">
        <v>68.685000000000002</v>
      </c>
      <c r="D67" s="1">
        <v>0</v>
      </c>
      <c r="E67" s="1">
        <v>0</v>
      </c>
      <c r="F67" s="1">
        <v>1</v>
      </c>
    </row>
    <row r="68" spans="1:6">
      <c r="A68">
        <v>2015</v>
      </c>
      <c r="B68" s="24">
        <v>96.6</v>
      </c>
      <c r="C68" s="24">
        <v>85.756499999999988</v>
      </c>
      <c r="D68" s="1">
        <v>0</v>
      </c>
      <c r="E68" s="1">
        <v>0</v>
      </c>
      <c r="F68" s="1">
        <v>1</v>
      </c>
    </row>
    <row r="69" spans="1:6">
      <c r="A69">
        <v>2015</v>
      </c>
      <c r="B69" s="24">
        <v>96.8</v>
      </c>
      <c r="C69" s="24">
        <v>85.632999999999996</v>
      </c>
      <c r="D69" s="1">
        <v>0</v>
      </c>
      <c r="E69" s="1">
        <v>0</v>
      </c>
      <c r="F69" s="1">
        <v>1</v>
      </c>
    </row>
    <row r="70" spans="1:6">
      <c r="A70">
        <v>2015</v>
      </c>
      <c r="B70" s="24">
        <v>94.2</v>
      </c>
      <c r="C70" s="24">
        <v>78.945000000000007</v>
      </c>
      <c r="D70" s="1">
        <v>0</v>
      </c>
      <c r="E70" s="1">
        <v>0</v>
      </c>
      <c r="F70" s="1">
        <v>1</v>
      </c>
    </row>
    <row r="71" spans="1:6">
      <c r="A71">
        <v>2015</v>
      </c>
      <c r="B71" s="24">
        <v>97</v>
      </c>
      <c r="C71" s="24">
        <v>86.782499999999999</v>
      </c>
      <c r="D71" s="1">
        <v>0</v>
      </c>
      <c r="E71" s="1">
        <v>0</v>
      </c>
      <c r="F71" s="1">
        <v>1</v>
      </c>
    </row>
    <row r="72" spans="1:6">
      <c r="A72">
        <v>2015</v>
      </c>
      <c r="B72" s="24">
        <v>92.4</v>
      </c>
      <c r="C72" s="24">
        <v>62.415000000000006</v>
      </c>
      <c r="D72" s="1">
        <v>0</v>
      </c>
      <c r="E72" s="1">
        <v>0</v>
      </c>
      <c r="F72" s="1">
        <v>1</v>
      </c>
    </row>
    <row r="73" spans="1:6">
      <c r="A73">
        <v>2015</v>
      </c>
      <c r="B73" s="24">
        <v>81.8</v>
      </c>
      <c r="C73" s="24">
        <v>72.959999999999994</v>
      </c>
      <c r="D73" s="1">
        <v>0</v>
      </c>
      <c r="E73" s="1">
        <v>0</v>
      </c>
      <c r="F73" s="1">
        <v>1</v>
      </c>
    </row>
    <row r="74" spans="1:6">
      <c r="A74">
        <v>2015</v>
      </c>
      <c r="B74" s="24">
        <v>93.2</v>
      </c>
      <c r="C74" s="24">
        <v>74.954999999999998</v>
      </c>
      <c r="D74" s="1">
        <v>0</v>
      </c>
      <c r="E74" s="1">
        <v>0</v>
      </c>
      <c r="F74" s="1">
        <v>1</v>
      </c>
    </row>
    <row r="75" spans="1:6">
      <c r="A75">
        <v>2015</v>
      </c>
      <c r="B75" s="24">
        <v>95.4</v>
      </c>
      <c r="C75" s="24">
        <v>76.665000000000006</v>
      </c>
      <c r="D75" s="1">
        <v>0</v>
      </c>
      <c r="E75" s="1">
        <v>0</v>
      </c>
      <c r="F75" s="1">
        <v>1</v>
      </c>
    </row>
    <row r="76" spans="1:6">
      <c r="A76">
        <v>2015</v>
      </c>
      <c r="B76" s="24">
        <v>98.2</v>
      </c>
      <c r="C76" s="24">
        <v>89.347499999999997</v>
      </c>
      <c r="D76" s="1">
        <v>0</v>
      </c>
      <c r="E76" s="1">
        <v>0</v>
      </c>
      <c r="F76" s="1">
        <v>1</v>
      </c>
    </row>
    <row r="77" spans="1:6">
      <c r="A77">
        <v>2015</v>
      </c>
      <c r="B77" s="24">
        <v>94.4</v>
      </c>
      <c r="C77" s="24">
        <v>67.355000000000004</v>
      </c>
      <c r="D77" s="1">
        <v>0</v>
      </c>
      <c r="E77" s="1">
        <v>0</v>
      </c>
      <c r="F77" s="1">
        <v>1</v>
      </c>
    </row>
    <row r="78" spans="1:6">
      <c r="A78">
        <v>2015</v>
      </c>
      <c r="B78" s="24">
        <v>96.4</v>
      </c>
      <c r="C78" s="24">
        <v>79.847499999999997</v>
      </c>
      <c r="D78" s="1">
        <v>0</v>
      </c>
      <c r="E78" s="1">
        <v>0</v>
      </c>
      <c r="F78" s="1">
        <v>1</v>
      </c>
    </row>
    <row r="79" spans="1:6">
      <c r="A79">
        <v>2015</v>
      </c>
      <c r="B79" s="24">
        <v>96</v>
      </c>
      <c r="C79" s="24">
        <v>82.554999999999993</v>
      </c>
      <c r="D79" s="1">
        <v>0</v>
      </c>
      <c r="E79" s="1">
        <v>0</v>
      </c>
      <c r="F79" s="1">
        <v>1</v>
      </c>
    </row>
    <row r="80" spans="1:6">
      <c r="A80">
        <v>2016</v>
      </c>
      <c r="B80" s="22">
        <v>95.4</v>
      </c>
      <c r="C80" s="22">
        <v>76.389499999999998</v>
      </c>
      <c r="D80">
        <v>1</v>
      </c>
      <c r="E80" s="1">
        <v>0</v>
      </c>
      <c r="F80" s="1">
        <v>0</v>
      </c>
    </row>
    <row r="81" spans="1:6">
      <c r="A81">
        <v>2016</v>
      </c>
      <c r="B81" s="22">
        <v>96.2</v>
      </c>
      <c r="C81" s="22">
        <v>85.243500000000012</v>
      </c>
      <c r="D81">
        <v>1</v>
      </c>
      <c r="E81" s="1">
        <v>0</v>
      </c>
      <c r="F81" s="1">
        <v>0</v>
      </c>
    </row>
    <row r="82" spans="1:6">
      <c r="A82">
        <v>2016</v>
      </c>
      <c r="B82" s="22">
        <v>96</v>
      </c>
      <c r="C82" s="22">
        <v>82.46</v>
      </c>
      <c r="D82">
        <v>1</v>
      </c>
      <c r="E82" s="1">
        <v>0</v>
      </c>
      <c r="F82" s="1">
        <v>0</v>
      </c>
    </row>
    <row r="83" spans="1:6">
      <c r="A83">
        <v>2016</v>
      </c>
      <c r="B83" s="22">
        <v>93.2</v>
      </c>
      <c r="C83" s="22">
        <v>69.834500000000006</v>
      </c>
      <c r="D83" s="17">
        <v>1</v>
      </c>
      <c r="E83" s="1">
        <v>0</v>
      </c>
      <c r="F83" s="1">
        <v>0</v>
      </c>
    </row>
    <row r="84" spans="1:6">
      <c r="A84">
        <v>2016</v>
      </c>
      <c r="B84" s="22">
        <v>93</v>
      </c>
      <c r="C84" s="22">
        <v>72.39</v>
      </c>
      <c r="D84" s="17">
        <v>1</v>
      </c>
      <c r="E84" s="1">
        <v>0</v>
      </c>
      <c r="F84" s="1">
        <v>0</v>
      </c>
    </row>
    <row r="85" spans="1:6">
      <c r="A85">
        <v>2016</v>
      </c>
      <c r="B85" s="22">
        <v>97.2</v>
      </c>
      <c r="C85" s="22">
        <v>72.789000000000001</v>
      </c>
      <c r="D85" s="17">
        <v>1</v>
      </c>
      <c r="E85" s="1">
        <v>0</v>
      </c>
      <c r="F85" s="1">
        <v>0</v>
      </c>
    </row>
    <row r="86" spans="1:6">
      <c r="A86">
        <v>2016</v>
      </c>
      <c r="B86" s="22">
        <v>94.2</v>
      </c>
      <c r="C86" s="22">
        <v>71.819999999999993</v>
      </c>
      <c r="D86" s="17">
        <v>1</v>
      </c>
      <c r="E86" s="1">
        <v>0</v>
      </c>
      <c r="F86" s="1">
        <v>0</v>
      </c>
    </row>
    <row r="87" spans="1:6">
      <c r="A87">
        <v>2016</v>
      </c>
      <c r="B87" s="22">
        <v>96.6</v>
      </c>
      <c r="C87" s="22">
        <v>82.032499999999999</v>
      </c>
      <c r="D87" s="17">
        <v>1</v>
      </c>
      <c r="E87" s="1">
        <v>0</v>
      </c>
      <c r="F87" s="1">
        <v>0</v>
      </c>
    </row>
    <row r="88" spans="1:6">
      <c r="A88">
        <v>2016</v>
      </c>
      <c r="B88" s="22">
        <v>89</v>
      </c>
      <c r="C88" s="22">
        <v>61.360499999999995</v>
      </c>
      <c r="D88" s="17">
        <v>1</v>
      </c>
      <c r="E88" s="1">
        <v>0</v>
      </c>
      <c r="F88" s="1">
        <v>0</v>
      </c>
    </row>
    <row r="89" spans="1:6">
      <c r="A89">
        <v>2016</v>
      </c>
      <c r="B89" s="22">
        <v>97</v>
      </c>
      <c r="C89" s="22">
        <v>79.705000000000013</v>
      </c>
      <c r="D89" s="17">
        <v>1</v>
      </c>
      <c r="E89" s="1">
        <v>0</v>
      </c>
      <c r="F89" s="1">
        <v>0</v>
      </c>
    </row>
    <row r="90" spans="1:6">
      <c r="A90">
        <v>2016</v>
      </c>
      <c r="B90" s="22">
        <v>94.4</v>
      </c>
      <c r="C90" s="22">
        <v>80.36</v>
      </c>
      <c r="D90" s="17">
        <v>1</v>
      </c>
      <c r="E90" s="1">
        <v>0</v>
      </c>
      <c r="F90" s="1">
        <v>0</v>
      </c>
    </row>
    <row r="91" spans="1:6">
      <c r="A91">
        <v>2016</v>
      </c>
      <c r="B91" s="22">
        <v>80.83</v>
      </c>
      <c r="C91" s="22">
        <v>48.64</v>
      </c>
      <c r="D91" s="18">
        <v>1</v>
      </c>
      <c r="E91" s="1">
        <v>0</v>
      </c>
      <c r="F91" s="1">
        <v>0</v>
      </c>
    </row>
    <row r="92" spans="1:6">
      <c r="A92">
        <v>2016</v>
      </c>
      <c r="B92" s="22">
        <v>81.2</v>
      </c>
      <c r="C92" s="22">
        <v>51.48</v>
      </c>
      <c r="D92" s="18">
        <v>1</v>
      </c>
      <c r="E92" s="1">
        <v>0</v>
      </c>
      <c r="F92" s="1">
        <v>0</v>
      </c>
    </row>
    <row r="93" spans="1:6">
      <c r="A93">
        <v>2016</v>
      </c>
      <c r="B93" s="22">
        <v>91.75</v>
      </c>
      <c r="C93" s="22">
        <v>57.769500000000001</v>
      </c>
      <c r="D93" s="19">
        <v>1</v>
      </c>
      <c r="E93" s="1">
        <v>0</v>
      </c>
      <c r="F93" s="1">
        <v>0</v>
      </c>
    </row>
    <row r="94" spans="1:6">
      <c r="A94">
        <v>2016</v>
      </c>
      <c r="B94" s="22">
        <v>90</v>
      </c>
      <c r="C94" s="22">
        <v>77.709999999999994</v>
      </c>
      <c r="D94" s="1">
        <v>0</v>
      </c>
      <c r="E94" s="1">
        <v>1</v>
      </c>
      <c r="F94" s="1">
        <v>0</v>
      </c>
    </row>
    <row r="95" spans="1:6">
      <c r="A95">
        <v>2016</v>
      </c>
      <c r="B95" s="22">
        <v>96.2</v>
      </c>
      <c r="C95" s="22">
        <v>83.79</v>
      </c>
      <c r="D95" s="1">
        <v>0</v>
      </c>
      <c r="E95" s="1">
        <v>1</v>
      </c>
      <c r="F95" s="1">
        <v>0</v>
      </c>
    </row>
    <row r="96" spans="1:6">
      <c r="A96">
        <v>2016</v>
      </c>
      <c r="B96" s="22">
        <v>96.2</v>
      </c>
      <c r="C96" s="22">
        <v>84.986999999999995</v>
      </c>
      <c r="D96" s="1">
        <v>0</v>
      </c>
      <c r="E96" s="1">
        <v>1</v>
      </c>
      <c r="F96" s="1">
        <v>0</v>
      </c>
    </row>
    <row r="97" spans="1:6">
      <c r="A97">
        <v>2016</v>
      </c>
      <c r="B97" s="22">
        <v>96.6</v>
      </c>
      <c r="C97" s="22">
        <v>83.68</v>
      </c>
      <c r="D97" s="1">
        <v>0</v>
      </c>
      <c r="E97" s="1">
        <v>1</v>
      </c>
      <c r="F97" s="1">
        <v>0</v>
      </c>
    </row>
    <row r="98" spans="1:6">
      <c r="A98">
        <v>2016</v>
      </c>
      <c r="B98" s="22">
        <v>92.6</v>
      </c>
      <c r="C98" s="22">
        <v>74.974000000000004</v>
      </c>
      <c r="D98" s="1">
        <v>0</v>
      </c>
      <c r="E98" s="1">
        <v>1</v>
      </c>
      <c r="F98" s="1">
        <v>0</v>
      </c>
    </row>
    <row r="99" spans="1:6">
      <c r="A99">
        <v>2016</v>
      </c>
      <c r="B99" s="22">
        <v>96.6</v>
      </c>
      <c r="C99" s="22">
        <v>79.419999999999987</v>
      </c>
      <c r="D99" s="1">
        <v>0</v>
      </c>
      <c r="E99" s="1">
        <v>1</v>
      </c>
      <c r="F99" s="1">
        <v>0</v>
      </c>
    </row>
    <row r="100" spans="1:6">
      <c r="A100">
        <v>2016</v>
      </c>
      <c r="B100" s="22">
        <v>92</v>
      </c>
      <c r="C100" s="22">
        <v>67.013000000000005</v>
      </c>
      <c r="D100" s="1">
        <v>0</v>
      </c>
      <c r="E100" s="1">
        <v>1</v>
      </c>
      <c r="F100" s="1">
        <v>0</v>
      </c>
    </row>
    <row r="101" spans="1:6">
      <c r="A101">
        <v>2016</v>
      </c>
      <c r="B101" s="22">
        <v>94.4</v>
      </c>
      <c r="C101" s="22">
        <v>86.146000000000001</v>
      </c>
      <c r="D101" s="1">
        <v>0</v>
      </c>
      <c r="E101" s="1">
        <v>1</v>
      </c>
      <c r="F101" s="1">
        <v>0</v>
      </c>
    </row>
    <row r="102" spans="1:6">
      <c r="A102">
        <v>2016</v>
      </c>
      <c r="B102" s="26">
        <v>0.88600000000000001</v>
      </c>
      <c r="C102" s="26">
        <v>5.8415499999999998</v>
      </c>
      <c r="D102" s="1">
        <v>0</v>
      </c>
      <c r="E102" s="1">
        <v>1</v>
      </c>
      <c r="F102" s="1">
        <v>0</v>
      </c>
    </row>
    <row r="103" spans="1:6">
      <c r="A103">
        <v>2016</v>
      </c>
      <c r="B103" s="22">
        <v>96.25</v>
      </c>
      <c r="C103" s="22">
        <v>86.013000000000005</v>
      </c>
      <c r="D103" s="1">
        <v>0</v>
      </c>
      <c r="E103" s="1">
        <v>1</v>
      </c>
      <c r="F103" s="1">
        <v>0</v>
      </c>
    </row>
    <row r="104" spans="1:6">
      <c r="A104">
        <v>2016</v>
      </c>
      <c r="B104" s="22">
        <v>98.25</v>
      </c>
      <c r="C104" s="22">
        <v>89.091000000000008</v>
      </c>
      <c r="D104" s="1">
        <v>0</v>
      </c>
      <c r="E104" s="1">
        <v>1</v>
      </c>
      <c r="F104" s="1">
        <v>0</v>
      </c>
    </row>
    <row r="105" spans="1:6">
      <c r="A105">
        <v>2016</v>
      </c>
      <c r="B105" s="22">
        <v>89.4</v>
      </c>
      <c r="C105" s="22">
        <v>72.67</v>
      </c>
      <c r="D105" s="1">
        <v>0</v>
      </c>
      <c r="E105" s="1">
        <v>1</v>
      </c>
      <c r="F105" s="1">
        <v>0</v>
      </c>
    </row>
    <row r="106" spans="1:6">
      <c r="A106">
        <v>2016</v>
      </c>
      <c r="B106" s="22">
        <v>95</v>
      </c>
      <c r="C106" s="22">
        <v>85.632999999999996</v>
      </c>
      <c r="D106" s="1">
        <v>0</v>
      </c>
      <c r="E106" s="1">
        <v>1</v>
      </c>
      <c r="F106" s="1">
        <v>0</v>
      </c>
    </row>
    <row r="107" spans="1:6">
      <c r="A107">
        <v>2016</v>
      </c>
      <c r="B107" s="22">
        <v>96.2</v>
      </c>
      <c r="C107" s="22">
        <v>79.078000000000003</v>
      </c>
      <c r="D107" s="1">
        <v>0</v>
      </c>
      <c r="E107" s="1">
        <v>1</v>
      </c>
      <c r="F107" s="1">
        <v>0</v>
      </c>
    </row>
    <row r="108" spans="1:6">
      <c r="A108">
        <v>2016</v>
      </c>
      <c r="B108" s="22">
        <v>95</v>
      </c>
      <c r="C108" s="22">
        <v>88.967500000000001</v>
      </c>
      <c r="D108" s="1">
        <v>0</v>
      </c>
      <c r="E108" s="1">
        <v>1</v>
      </c>
      <c r="F108" s="1">
        <v>0</v>
      </c>
    </row>
    <row r="109" spans="1:6">
      <c r="A109">
        <v>2016</v>
      </c>
      <c r="B109" s="22">
        <v>94.25</v>
      </c>
      <c r="C109" s="22">
        <v>74.717500000000001</v>
      </c>
      <c r="D109" s="1">
        <v>0</v>
      </c>
      <c r="E109" s="1">
        <v>1</v>
      </c>
      <c r="F109" s="1">
        <v>0</v>
      </c>
    </row>
    <row r="110" spans="1:6">
      <c r="A110">
        <v>2016</v>
      </c>
      <c r="B110" s="22" t="s">
        <v>180</v>
      </c>
      <c r="C110" s="22">
        <v>84.986999999999995</v>
      </c>
      <c r="D110" s="1">
        <v>0</v>
      </c>
      <c r="E110" s="1">
        <v>1</v>
      </c>
      <c r="F110" s="1">
        <v>0</v>
      </c>
    </row>
    <row r="111" spans="1:6">
      <c r="A111">
        <v>2016</v>
      </c>
      <c r="B111" s="22">
        <v>94.2</v>
      </c>
      <c r="C111" s="22">
        <v>78.954499999999996</v>
      </c>
      <c r="D111" s="1">
        <v>0</v>
      </c>
      <c r="E111" s="1">
        <v>0</v>
      </c>
      <c r="F111" s="1">
        <v>1</v>
      </c>
    </row>
    <row r="112" spans="1:6">
      <c r="A112">
        <v>2016</v>
      </c>
      <c r="B112" s="22">
        <v>93.6</v>
      </c>
      <c r="C112" s="22">
        <v>52.72</v>
      </c>
      <c r="D112" s="1">
        <v>0</v>
      </c>
      <c r="E112" s="1">
        <v>0</v>
      </c>
      <c r="F112" s="1">
        <v>1</v>
      </c>
    </row>
    <row r="113" spans="1:6">
      <c r="A113">
        <v>2016</v>
      </c>
      <c r="B113" s="22">
        <v>94.4</v>
      </c>
      <c r="C113" s="22">
        <v>67.355000000000004</v>
      </c>
      <c r="D113" s="1">
        <v>0</v>
      </c>
      <c r="E113" s="1">
        <v>0</v>
      </c>
      <c r="F113" s="1">
        <v>1</v>
      </c>
    </row>
    <row r="114" spans="1:6">
      <c r="A114">
        <v>2016</v>
      </c>
      <c r="B114" s="22">
        <v>98.2</v>
      </c>
      <c r="C114" s="22">
        <v>89.347499999999997</v>
      </c>
      <c r="D114" s="1">
        <v>0</v>
      </c>
      <c r="E114" s="1">
        <v>0</v>
      </c>
      <c r="F114" s="1">
        <v>1</v>
      </c>
    </row>
    <row r="115" spans="1:6">
      <c r="A115">
        <v>2016</v>
      </c>
      <c r="B115" s="22">
        <v>96.8</v>
      </c>
      <c r="C115" s="22">
        <v>88.710999999999999</v>
      </c>
      <c r="D115" s="1">
        <v>0</v>
      </c>
      <c r="E115" s="1">
        <v>0</v>
      </c>
      <c r="F115" s="1">
        <v>1</v>
      </c>
    </row>
    <row r="116" spans="1:6">
      <c r="A116">
        <v>2016</v>
      </c>
      <c r="B116" s="22">
        <v>96.6</v>
      </c>
      <c r="C116" s="22">
        <v>85.367000000000004</v>
      </c>
      <c r="D116" s="1">
        <v>0</v>
      </c>
      <c r="E116" s="1">
        <v>0</v>
      </c>
      <c r="F116" s="1">
        <v>1</v>
      </c>
    </row>
    <row r="117" spans="1:6">
      <c r="A117">
        <v>2016</v>
      </c>
      <c r="B117" s="22">
        <v>97.6</v>
      </c>
      <c r="C117" s="22">
        <v>86.564000000000007</v>
      </c>
      <c r="D117" s="1">
        <v>0</v>
      </c>
      <c r="E117" s="1">
        <v>0</v>
      </c>
      <c r="F117" s="1">
        <v>1</v>
      </c>
    </row>
    <row r="118" spans="1:6">
      <c r="A118">
        <v>2016</v>
      </c>
      <c r="B118" s="22">
        <v>93.25</v>
      </c>
      <c r="C118" s="22">
        <v>74.97</v>
      </c>
      <c r="D118" s="1">
        <v>0</v>
      </c>
      <c r="E118" s="1">
        <v>0</v>
      </c>
      <c r="F118" s="1">
        <v>1</v>
      </c>
    </row>
    <row r="119" spans="1:6">
      <c r="A119">
        <v>2016</v>
      </c>
      <c r="B119" s="22">
        <v>96.4</v>
      </c>
      <c r="C119" s="22">
        <v>79.847499999999997</v>
      </c>
      <c r="D119" s="1">
        <v>0</v>
      </c>
      <c r="E119" s="1">
        <v>0</v>
      </c>
      <c r="F119" s="1">
        <v>1</v>
      </c>
    </row>
    <row r="120" spans="1:6">
      <c r="A120">
        <v>2016</v>
      </c>
      <c r="B120" s="22">
        <v>81.8</v>
      </c>
      <c r="C120" s="22">
        <v>72.92</v>
      </c>
      <c r="D120" s="1">
        <v>0</v>
      </c>
      <c r="E120" s="1">
        <v>0</v>
      </c>
      <c r="F120" s="1">
        <v>1</v>
      </c>
    </row>
    <row r="121" spans="1:6">
      <c r="A121">
        <v>2016</v>
      </c>
      <c r="B121" s="22">
        <v>93.2</v>
      </c>
      <c r="C121" s="22">
        <v>67.45</v>
      </c>
      <c r="D121" s="1">
        <v>0</v>
      </c>
      <c r="E121" s="1">
        <v>0</v>
      </c>
      <c r="F121" s="1">
        <v>1</v>
      </c>
    </row>
    <row r="122" spans="1:6">
      <c r="A122">
        <v>2016</v>
      </c>
      <c r="B122" s="22">
        <v>93</v>
      </c>
      <c r="C122" s="22">
        <v>68.685000000000002</v>
      </c>
      <c r="D122" s="1">
        <v>0</v>
      </c>
      <c r="E122" s="1">
        <v>0</v>
      </c>
      <c r="F122" s="1">
        <v>1</v>
      </c>
    </row>
    <row r="123" spans="1:6">
      <c r="A123">
        <v>2016</v>
      </c>
      <c r="B123" s="22">
        <v>97</v>
      </c>
      <c r="C123" s="22">
        <v>86.782499999999999</v>
      </c>
      <c r="D123" s="1">
        <v>0</v>
      </c>
      <c r="E123" s="1">
        <v>0</v>
      </c>
      <c r="F123" s="1">
        <v>1</v>
      </c>
    </row>
    <row r="124" spans="1:6">
      <c r="A124">
        <v>2016</v>
      </c>
      <c r="B124" s="22">
        <v>95.4</v>
      </c>
      <c r="C124" s="22">
        <v>76.646000000000001</v>
      </c>
      <c r="D124" s="1">
        <v>0</v>
      </c>
      <c r="E124" s="1">
        <v>0</v>
      </c>
      <c r="F124" s="1">
        <v>1</v>
      </c>
    </row>
    <row r="125" spans="1:6">
      <c r="A125">
        <v>2016</v>
      </c>
      <c r="B125" s="22">
        <v>96.6</v>
      </c>
      <c r="C125" s="22">
        <v>83.058500000000009</v>
      </c>
      <c r="D125" s="1">
        <v>0</v>
      </c>
      <c r="E125" s="1">
        <v>0</v>
      </c>
      <c r="F125" s="1">
        <v>1</v>
      </c>
    </row>
    <row r="126" spans="1:6">
      <c r="A126">
        <v>2016</v>
      </c>
      <c r="B126" s="22">
        <v>96</v>
      </c>
      <c r="C126" s="22">
        <v>82.545500000000004</v>
      </c>
      <c r="D126" s="1">
        <v>0</v>
      </c>
      <c r="E126" s="1">
        <v>0</v>
      </c>
      <c r="F126" s="1">
        <v>1</v>
      </c>
    </row>
    <row r="127" spans="1:6">
      <c r="A127">
        <v>2016</v>
      </c>
      <c r="B127" s="22">
        <v>94.75</v>
      </c>
      <c r="C127" s="22">
        <v>62.415000000000006</v>
      </c>
      <c r="D127" s="1">
        <v>0</v>
      </c>
      <c r="E127" s="1">
        <v>0</v>
      </c>
      <c r="F127" s="1">
        <v>1</v>
      </c>
    </row>
    <row r="128" spans="1:6">
      <c r="A128">
        <v>2017</v>
      </c>
      <c r="B128" s="25">
        <v>96.75</v>
      </c>
      <c r="C128" s="25">
        <v>78.28</v>
      </c>
      <c r="D128" s="11">
        <v>1</v>
      </c>
      <c r="E128" s="1">
        <v>0</v>
      </c>
      <c r="F128" s="1">
        <v>0</v>
      </c>
    </row>
    <row r="129" spans="1:6">
      <c r="A129">
        <v>2017</v>
      </c>
      <c r="B129" s="25">
        <v>96.8</v>
      </c>
      <c r="C129" s="25">
        <v>70.775000000000006</v>
      </c>
      <c r="D129" s="11">
        <v>1</v>
      </c>
      <c r="E129" s="1">
        <v>0</v>
      </c>
      <c r="F129" s="1">
        <v>0</v>
      </c>
    </row>
    <row r="130" spans="1:6">
      <c r="A130">
        <v>2017</v>
      </c>
      <c r="B130" s="25">
        <v>96.4</v>
      </c>
      <c r="C130" s="25">
        <v>83.79</v>
      </c>
      <c r="D130" s="11">
        <v>1</v>
      </c>
      <c r="E130" s="1">
        <v>0</v>
      </c>
      <c r="F130" s="1">
        <v>0</v>
      </c>
    </row>
    <row r="131" spans="1:6">
      <c r="A131">
        <v>2017</v>
      </c>
      <c r="B131" s="25">
        <v>96.6</v>
      </c>
      <c r="C131" s="25">
        <v>84.455000000000013</v>
      </c>
      <c r="D131" s="11">
        <v>1</v>
      </c>
      <c r="E131" s="1">
        <v>0</v>
      </c>
      <c r="F131" s="1">
        <v>0</v>
      </c>
    </row>
    <row r="132" spans="1:6">
      <c r="A132">
        <v>2017</v>
      </c>
      <c r="B132" s="25">
        <v>94.2</v>
      </c>
      <c r="C132" s="25">
        <v>76</v>
      </c>
      <c r="D132" s="11">
        <v>1</v>
      </c>
      <c r="E132" s="1">
        <v>0</v>
      </c>
      <c r="F132" s="1">
        <v>0</v>
      </c>
    </row>
    <row r="133" spans="1:6">
      <c r="A133">
        <v>2017</v>
      </c>
      <c r="B133" s="25">
        <v>96.6</v>
      </c>
      <c r="C133" s="25">
        <v>80.084999999999994</v>
      </c>
      <c r="D133" s="11">
        <v>1</v>
      </c>
      <c r="E133" s="1">
        <v>0</v>
      </c>
      <c r="F133" s="1">
        <v>0</v>
      </c>
    </row>
    <row r="134" spans="1:6">
      <c r="A134">
        <v>2017</v>
      </c>
      <c r="B134" s="25">
        <v>93.6</v>
      </c>
      <c r="C134" s="25">
        <v>58.9</v>
      </c>
      <c r="D134" s="11">
        <v>1</v>
      </c>
      <c r="E134" s="1">
        <v>0</v>
      </c>
      <c r="F134" s="1">
        <v>0</v>
      </c>
    </row>
    <row r="135" spans="1:6">
      <c r="A135">
        <v>2017</v>
      </c>
      <c r="B135" s="25">
        <v>95.2</v>
      </c>
      <c r="C135" s="25">
        <v>80.844999999999999</v>
      </c>
      <c r="D135" s="11">
        <v>1</v>
      </c>
      <c r="E135" s="1">
        <v>0</v>
      </c>
      <c r="F135" s="1">
        <v>0</v>
      </c>
    </row>
    <row r="136" spans="1:6">
      <c r="A136">
        <v>2017</v>
      </c>
      <c r="B136" s="25">
        <v>94.75</v>
      </c>
      <c r="C136" s="25">
        <v>74.765000000000001</v>
      </c>
      <c r="D136" s="11">
        <v>1</v>
      </c>
      <c r="E136" s="1">
        <v>0</v>
      </c>
      <c r="F136" s="1">
        <v>0</v>
      </c>
    </row>
    <row r="137" spans="1:6">
      <c r="A137">
        <v>2017</v>
      </c>
      <c r="B137" s="25">
        <v>96.8</v>
      </c>
      <c r="C137" s="25">
        <v>87.304999999999993</v>
      </c>
      <c r="D137" s="11">
        <v>1</v>
      </c>
      <c r="E137" s="1">
        <v>0</v>
      </c>
      <c r="F137" s="1">
        <v>0</v>
      </c>
    </row>
    <row r="138" spans="1:6">
      <c r="A138">
        <v>2017</v>
      </c>
      <c r="B138" s="25">
        <v>96.4</v>
      </c>
      <c r="C138" s="25">
        <v>83.5715</v>
      </c>
      <c r="D138" s="11">
        <v>1</v>
      </c>
      <c r="E138" s="1">
        <v>0</v>
      </c>
      <c r="F138" s="1">
        <v>0</v>
      </c>
    </row>
    <row r="139" spans="1:6">
      <c r="A139">
        <v>2017</v>
      </c>
      <c r="B139" s="25">
        <v>0.84399999999999997</v>
      </c>
      <c r="C139" s="25">
        <v>66.784999999999997</v>
      </c>
      <c r="D139" s="11">
        <v>1</v>
      </c>
      <c r="E139" s="1">
        <v>0</v>
      </c>
      <c r="F139" s="1">
        <v>0</v>
      </c>
    </row>
    <row r="140" spans="1:6">
      <c r="A140">
        <v>2017</v>
      </c>
      <c r="B140" s="25">
        <v>96.4</v>
      </c>
      <c r="C140" s="25">
        <v>85.243500000000012</v>
      </c>
      <c r="D140" s="11">
        <v>1</v>
      </c>
      <c r="E140" s="1">
        <v>0</v>
      </c>
      <c r="F140" s="1">
        <v>0</v>
      </c>
    </row>
    <row r="141" spans="1:6">
      <c r="A141">
        <v>2017</v>
      </c>
      <c r="B141" s="25">
        <v>95.2</v>
      </c>
      <c r="C141" s="25">
        <v>73.814999999999998</v>
      </c>
      <c r="D141" s="11">
        <v>1</v>
      </c>
      <c r="E141" s="1">
        <v>0</v>
      </c>
      <c r="F141" s="1">
        <v>0</v>
      </c>
    </row>
    <row r="142" spans="1:6">
      <c r="A142">
        <v>2017</v>
      </c>
      <c r="B142" s="25">
        <v>96.4</v>
      </c>
      <c r="C142" s="25">
        <v>87.875</v>
      </c>
      <c r="D142" s="11">
        <v>1</v>
      </c>
      <c r="E142" s="1">
        <v>0</v>
      </c>
      <c r="F142" s="1">
        <v>0</v>
      </c>
    </row>
    <row r="143" spans="1:6">
      <c r="A143">
        <v>2017</v>
      </c>
      <c r="B143" s="25">
        <v>96.5</v>
      </c>
      <c r="C143" s="25">
        <v>74.48</v>
      </c>
      <c r="D143" s="11">
        <v>1</v>
      </c>
      <c r="E143" s="1">
        <v>0</v>
      </c>
      <c r="F143" s="1">
        <v>0</v>
      </c>
    </row>
    <row r="144" spans="1:6">
      <c r="A144">
        <v>2017</v>
      </c>
      <c r="B144" s="25">
        <v>96.2</v>
      </c>
      <c r="C144" s="25">
        <v>74.954999999999998</v>
      </c>
      <c r="D144" s="11">
        <v>1</v>
      </c>
      <c r="E144" s="1">
        <v>0</v>
      </c>
      <c r="F144" s="1">
        <v>0</v>
      </c>
    </row>
    <row r="145" spans="1:6">
      <c r="A145">
        <v>2017</v>
      </c>
      <c r="B145" s="25">
        <v>92.6</v>
      </c>
      <c r="C145" s="25">
        <v>82.289000000000001</v>
      </c>
      <c r="D145" s="11">
        <v>1</v>
      </c>
      <c r="E145" s="1">
        <v>0</v>
      </c>
      <c r="F145" s="1">
        <v>0</v>
      </c>
    </row>
    <row r="146" spans="1:6">
      <c r="A146">
        <v>2017</v>
      </c>
      <c r="B146" s="25">
        <v>97.4</v>
      </c>
      <c r="C146" s="25">
        <v>85.215000000000003</v>
      </c>
      <c r="D146" s="1">
        <v>0</v>
      </c>
      <c r="E146" s="1">
        <v>1</v>
      </c>
      <c r="F146" s="1">
        <v>0</v>
      </c>
    </row>
    <row r="147" spans="1:6">
      <c r="A147">
        <v>2017</v>
      </c>
      <c r="B147" s="25">
        <v>95.2</v>
      </c>
      <c r="C147" s="25">
        <v>81.263000000000005</v>
      </c>
      <c r="D147" s="1">
        <v>0</v>
      </c>
      <c r="E147" s="1">
        <v>1</v>
      </c>
      <c r="F147" s="1">
        <v>0</v>
      </c>
    </row>
    <row r="148" spans="1:6">
      <c r="A148">
        <v>2017</v>
      </c>
      <c r="B148" s="25">
        <v>0.91</v>
      </c>
      <c r="C148" s="25">
        <v>86.26</v>
      </c>
      <c r="D148" s="1">
        <v>0</v>
      </c>
      <c r="E148" s="1">
        <v>1</v>
      </c>
      <c r="F148" s="1">
        <v>0</v>
      </c>
    </row>
    <row r="149" spans="1:6">
      <c r="A149">
        <v>2017</v>
      </c>
      <c r="B149" s="25">
        <v>93</v>
      </c>
      <c r="C149" s="25">
        <v>80.274999999999991</v>
      </c>
      <c r="D149" s="1">
        <v>0</v>
      </c>
      <c r="E149" s="1">
        <v>1</v>
      </c>
      <c r="F149" s="1">
        <v>0</v>
      </c>
    </row>
    <row r="150" spans="1:6">
      <c r="A150">
        <v>2017</v>
      </c>
      <c r="B150" s="25">
        <v>90.2</v>
      </c>
      <c r="C150" s="25">
        <v>77.804999999999993</v>
      </c>
      <c r="D150" s="1">
        <v>0</v>
      </c>
      <c r="E150" s="1">
        <v>1</v>
      </c>
      <c r="F150" s="1">
        <v>0</v>
      </c>
    </row>
    <row r="151" spans="1:6">
      <c r="A151">
        <v>2017</v>
      </c>
      <c r="B151" s="25">
        <v>81.400000000000006</v>
      </c>
      <c r="C151" s="25">
        <v>69.197999999999993</v>
      </c>
      <c r="D151" s="1">
        <v>0</v>
      </c>
      <c r="E151" s="1">
        <v>1</v>
      </c>
      <c r="F151" s="1">
        <v>0</v>
      </c>
    </row>
    <row r="152" spans="1:6">
      <c r="A152">
        <v>2017</v>
      </c>
      <c r="B152" s="25">
        <v>93.6</v>
      </c>
      <c r="C152" s="25">
        <v>85.405000000000001</v>
      </c>
      <c r="D152" s="1">
        <v>0</v>
      </c>
      <c r="E152" s="1">
        <v>1</v>
      </c>
      <c r="F152" s="1">
        <v>0</v>
      </c>
    </row>
    <row r="153" spans="1:6">
      <c r="A153">
        <v>2017</v>
      </c>
      <c r="B153" s="25">
        <v>97</v>
      </c>
      <c r="C153" s="25">
        <v>88.254999999999995</v>
      </c>
      <c r="D153" s="1">
        <v>0</v>
      </c>
      <c r="E153" s="1">
        <v>1</v>
      </c>
      <c r="F153" s="1">
        <v>0</v>
      </c>
    </row>
    <row r="154" spans="1:6">
      <c r="A154">
        <v>2017</v>
      </c>
      <c r="B154" s="25">
        <v>97</v>
      </c>
      <c r="C154" s="25">
        <v>89.347499999999997</v>
      </c>
      <c r="D154" s="1">
        <v>0</v>
      </c>
      <c r="E154" s="1">
        <v>1</v>
      </c>
      <c r="F154" s="1">
        <v>0</v>
      </c>
    </row>
    <row r="155" spans="1:6">
      <c r="A155">
        <v>2017</v>
      </c>
      <c r="B155" s="25">
        <v>93.8</v>
      </c>
      <c r="C155" s="25">
        <v>78.564999999999998</v>
      </c>
      <c r="D155" s="1">
        <v>0</v>
      </c>
      <c r="E155" s="1">
        <v>1</v>
      </c>
      <c r="F155" s="1">
        <v>0</v>
      </c>
    </row>
    <row r="156" spans="1:6">
      <c r="A156">
        <v>2017</v>
      </c>
      <c r="B156" s="25">
        <v>98.5</v>
      </c>
      <c r="C156" s="25">
        <v>81.889999999999986</v>
      </c>
      <c r="D156" s="1">
        <v>0</v>
      </c>
      <c r="E156" s="1">
        <v>0</v>
      </c>
      <c r="F156" s="1">
        <v>1</v>
      </c>
    </row>
    <row r="157" spans="1:6">
      <c r="A157">
        <v>2017</v>
      </c>
      <c r="B157" s="25">
        <v>92.4</v>
      </c>
      <c r="C157" s="25">
        <v>77.795500000000004</v>
      </c>
      <c r="D157" s="1">
        <v>0</v>
      </c>
      <c r="E157" s="1">
        <v>0</v>
      </c>
      <c r="F157" s="1">
        <v>1</v>
      </c>
    </row>
    <row r="158" spans="1:6">
      <c r="A158">
        <v>2017</v>
      </c>
      <c r="B158" s="25">
        <v>98</v>
      </c>
      <c r="C158" s="25">
        <v>87.304999999999993</v>
      </c>
      <c r="D158" s="1">
        <v>0</v>
      </c>
      <c r="E158" s="1">
        <v>0</v>
      </c>
      <c r="F158" s="1">
        <v>1</v>
      </c>
    </row>
    <row r="159" spans="1:6">
      <c r="A159">
        <v>2017</v>
      </c>
      <c r="B159" s="25">
        <v>97.8</v>
      </c>
      <c r="C159" s="25">
        <v>91.532499999999999</v>
      </c>
      <c r="D159" s="1">
        <v>0</v>
      </c>
      <c r="E159" s="1">
        <v>0</v>
      </c>
      <c r="F159" s="1">
        <v>1</v>
      </c>
    </row>
    <row r="160" spans="1:6">
      <c r="A160">
        <v>2017</v>
      </c>
      <c r="B160" s="25">
        <v>96.4</v>
      </c>
      <c r="C160" s="25">
        <v>82.032499999999999</v>
      </c>
      <c r="D160" s="1">
        <v>0</v>
      </c>
      <c r="E160" s="1">
        <v>0</v>
      </c>
      <c r="F160" s="1">
        <v>1</v>
      </c>
    </row>
    <row r="161" spans="1:6">
      <c r="A161">
        <v>2017</v>
      </c>
      <c r="B161" s="25">
        <v>92</v>
      </c>
      <c r="C161" s="25">
        <v>73.150000000000006</v>
      </c>
      <c r="D161" s="1">
        <v>0</v>
      </c>
      <c r="E161" s="1">
        <v>0</v>
      </c>
      <c r="F161" s="1">
        <v>1</v>
      </c>
    </row>
    <row r="162" spans="1:6">
      <c r="A162">
        <v>2017</v>
      </c>
      <c r="B162" s="25">
        <v>93.6</v>
      </c>
      <c r="C162" s="25">
        <v>73.691499999999991</v>
      </c>
      <c r="D162" s="1">
        <v>0</v>
      </c>
      <c r="E162" s="1">
        <v>0</v>
      </c>
      <c r="F162" s="1">
        <v>1</v>
      </c>
    </row>
    <row r="163" spans="1:6">
      <c r="A163">
        <v>2017</v>
      </c>
      <c r="B163" s="25">
        <v>99.2</v>
      </c>
      <c r="C163" s="25">
        <v>85.784999999999997</v>
      </c>
      <c r="D163" s="1">
        <v>0</v>
      </c>
      <c r="E163" s="1">
        <v>0</v>
      </c>
      <c r="F163" s="1">
        <v>1</v>
      </c>
    </row>
    <row r="164" spans="1:6">
      <c r="A164">
        <v>2017</v>
      </c>
      <c r="B164" s="25">
        <v>0.92400000000000004</v>
      </c>
      <c r="C164" s="25">
        <v>70.204999999999998</v>
      </c>
      <c r="D164" s="1">
        <v>0</v>
      </c>
      <c r="E164" s="1">
        <v>0</v>
      </c>
      <c r="F164" s="1">
        <v>1</v>
      </c>
    </row>
    <row r="165" spans="1:6">
      <c r="A165">
        <v>2017</v>
      </c>
      <c r="B165" s="25">
        <v>92.8</v>
      </c>
      <c r="C165" s="25">
        <v>81.224999999999994</v>
      </c>
      <c r="D165" s="1">
        <v>0</v>
      </c>
      <c r="E165" s="1">
        <v>0</v>
      </c>
      <c r="F165" s="1">
        <v>1</v>
      </c>
    </row>
    <row r="166" spans="1:6">
      <c r="A166">
        <v>2017</v>
      </c>
      <c r="B166" s="25">
        <v>97.4</v>
      </c>
      <c r="C166" s="25">
        <v>90.725000000000009</v>
      </c>
      <c r="D166" s="1">
        <v>0</v>
      </c>
      <c r="E166" s="1">
        <v>0</v>
      </c>
      <c r="F166" s="1">
        <v>1</v>
      </c>
    </row>
    <row r="167" spans="1:6">
      <c r="A167">
        <v>2017</v>
      </c>
      <c r="B167" s="25">
        <v>93</v>
      </c>
      <c r="C167" s="25">
        <v>77.804999999999993</v>
      </c>
      <c r="D167" s="1">
        <v>0</v>
      </c>
      <c r="E167" s="1">
        <v>0</v>
      </c>
      <c r="F167" s="1">
        <v>1</v>
      </c>
    </row>
    <row r="168" spans="1:6">
      <c r="A168">
        <v>2017</v>
      </c>
      <c r="B168" s="25">
        <v>97.2</v>
      </c>
      <c r="C168" s="25">
        <v>84.55</v>
      </c>
      <c r="D168" s="1">
        <v>0</v>
      </c>
      <c r="E168" s="1">
        <v>0</v>
      </c>
      <c r="F168" s="1">
        <v>1</v>
      </c>
    </row>
    <row r="169" spans="1:6">
      <c r="A169">
        <v>2017</v>
      </c>
      <c r="B169" s="25">
        <v>89.4</v>
      </c>
      <c r="C169" s="25">
        <v>66.69</v>
      </c>
      <c r="D169" s="1">
        <v>0</v>
      </c>
      <c r="E169" s="1">
        <v>0</v>
      </c>
      <c r="F169" s="1">
        <v>1</v>
      </c>
    </row>
    <row r="170" spans="1:6">
      <c r="A170">
        <v>2017</v>
      </c>
      <c r="B170" s="25">
        <v>94.6</v>
      </c>
      <c r="C170" s="25">
        <v>78.375</v>
      </c>
      <c r="D170" s="1">
        <v>0</v>
      </c>
      <c r="E170" s="1">
        <v>0</v>
      </c>
      <c r="F170" s="1">
        <v>1</v>
      </c>
    </row>
    <row r="171" spans="1:6">
      <c r="A171">
        <v>2017</v>
      </c>
      <c r="B171" s="25">
        <v>94.6</v>
      </c>
      <c r="C171" s="25">
        <v>84.929999999999993</v>
      </c>
      <c r="D171" s="1">
        <v>0</v>
      </c>
      <c r="E171" s="1">
        <v>0</v>
      </c>
      <c r="F171" s="1">
        <v>1</v>
      </c>
    </row>
    <row r="172" spans="1:6">
      <c r="A172">
        <v>2017</v>
      </c>
      <c r="B172" s="25">
        <v>92.2</v>
      </c>
      <c r="C172" s="25">
        <v>71.25</v>
      </c>
      <c r="D172" s="1">
        <v>0</v>
      </c>
      <c r="E172" s="1">
        <v>0</v>
      </c>
      <c r="F172" s="1">
        <v>1</v>
      </c>
    </row>
    <row r="173" spans="1:6">
      <c r="A173">
        <v>2017</v>
      </c>
      <c r="B173" s="25">
        <v>93.6</v>
      </c>
      <c r="C173" s="25">
        <v>68.171999999999997</v>
      </c>
      <c r="D173" s="1">
        <v>0</v>
      </c>
      <c r="E173" s="1">
        <v>0</v>
      </c>
      <c r="F173" s="1">
        <v>1</v>
      </c>
    </row>
    <row r="174" spans="1:6">
      <c r="A174">
        <v>2017</v>
      </c>
      <c r="B174" s="25">
        <v>90.2</v>
      </c>
      <c r="C174" s="25">
        <v>74.099999999999994</v>
      </c>
      <c r="D174" s="1">
        <v>0</v>
      </c>
      <c r="E174" s="1">
        <v>0</v>
      </c>
      <c r="F174" s="1">
        <v>1</v>
      </c>
    </row>
    <row r="175" spans="1:6">
      <c r="A175">
        <v>2017</v>
      </c>
      <c r="B175" s="25">
        <v>98.4</v>
      </c>
      <c r="C175" s="25">
        <v>84.929999999999993</v>
      </c>
      <c r="D175" s="1">
        <v>0</v>
      </c>
      <c r="E175" s="1">
        <v>0</v>
      </c>
      <c r="F175" s="1">
        <v>1</v>
      </c>
    </row>
    <row r="176" spans="1:6">
      <c r="A176">
        <v>2017</v>
      </c>
      <c r="B176" s="25">
        <v>96</v>
      </c>
      <c r="C176" s="25">
        <v>84.455000000000013</v>
      </c>
      <c r="D176" s="1">
        <v>0</v>
      </c>
      <c r="E176" s="1">
        <v>0</v>
      </c>
      <c r="F176" s="1">
        <v>1</v>
      </c>
    </row>
    <row r="177" spans="1:6">
      <c r="A177">
        <v>2017</v>
      </c>
      <c r="B177" s="25">
        <v>71.2</v>
      </c>
      <c r="C177" s="25">
        <v>67.45</v>
      </c>
      <c r="D177" s="1">
        <v>0</v>
      </c>
      <c r="E177" s="1">
        <v>0</v>
      </c>
      <c r="F177" s="1">
        <v>1</v>
      </c>
    </row>
    <row r="178" spans="1:6">
      <c r="A178">
        <v>2017</v>
      </c>
      <c r="B178" s="25">
        <v>71.2</v>
      </c>
      <c r="C178" s="25">
        <v>67.45</v>
      </c>
      <c r="D178" s="1">
        <v>0</v>
      </c>
      <c r="E178" s="1">
        <v>0</v>
      </c>
      <c r="F178" s="1">
        <v>1</v>
      </c>
    </row>
    <row r="179" spans="1:6">
      <c r="A179">
        <v>2017</v>
      </c>
      <c r="B179" s="25">
        <v>93</v>
      </c>
      <c r="C179" s="25">
        <v>64.125</v>
      </c>
      <c r="D179" s="1">
        <v>0</v>
      </c>
      <c r="E179" s="1">
        <v>0</v>
      </c>
      <c r="F179" s="1">
        <v>1</v>
      </c>
    </row>
    <row r="180" spans="1:6">
      <c r="A180">
        <v>2017</v>
      </c>
      <c r="B180" s="25">
        <v>96</v>
      </c>
      <c r="C180" s="25">
        <v>70.480499999999992</v>
      </c>
      <c r="D180" s="1">
        <v>0</v>
      </c>
      <c r="E180" s="1">
        <v>0</v>
      </c>
      <c r="F180" s="1">
        <v>1</v>
      </c>
    </row>
    <row r="181" spans="1:6">
      <c r="A181">
        <v>2017</v>
      </c>
      <c r="B181" s="25">
        <v>94.8</v>
      </c>
      <c r="C181" s="25">
        <v>86.165000000000006</v>
      </c>
      <c r="D181" s="1">
        <v>0</v>
      </c>
      <c r="E181" s="1">
        <v>0</v>
      </c>
      <c r="F181" s="1">
        <v>1</v>
      </c>
    </row>
    <row r="182" spans="1:6">
      <c r="A182">
        <v>2017</v>
      </c>
      <c r="B182" s="25">
        <v>98.4</v>
      </c>
      <c r="C182" s="25">
        <v>89.091000000000008</v>
      </c>
      <c r="D182" s="1">
        <v>0</v>
      </c>
      <c r="E182" s="1">
        <v>0</v>
      </c>
      <c r="F182" s="1">
        <v>1</v>
      </c>
    </row>
    <row r="183" spans="1:6">
      <c r="A183">
        <v>2017</v>
      </c>
      <c r="B183" s="25">
        <v>96.2</v>
      </c>
      <c r="C183" s="25">
        <v>86.830000000000013</v>
      </c>
      <c r="D183" s="1">
        <v>0</v>
      </c>
      <c r="E183" s="1">
        <v>0</v>
      </c>
      <c r="F183" s="1">
        <v>1</v>
      </c>
    </row>
    <row r="184" spans="1:6">
      <c r="A184">
        <v>2017</v>
      </c>
      <c r="B184" s="25">
        <v>91.6</v>
      </c>
      <c r="C184" s="25">
        <v>73.055000000000007</v>
      </c>
      <c r="D184" s="1">
        <v>0</v>
      </c>
      <c r="E184" s="1">
        <v>0</v>
      </c>
      <c r="F184" s="1">
        <v>1</v>
      </c>
    </row>
    <row r="185" spans="1:6">
      <c r="A185">
        <v>2017</v>
      </c>
      <c r="B185" s="25">
        <v>94</v>
      </c>
      <c r="C185" s="25">
        <v>65.55</v>
      </c>
      <c r="D185" s="1">
        <v>0</v>
      </c>
      <c r="E185" s="1">
        <v>0</v>
      </c>
      <c r="F185" s="1">
        <v>1</v>
      </c>
    </row>
    <row r="186" spans="1:6">
      <c r="A186">
        <v>2017</v>
      </c>
      <c r="B186" s="25">
        <v>91.6</v>
      </c>
      <c r="C186" s="25">
        <v>73.055000000000007</v>
      </c>
      <c r="D186" s="1">
        <v>0</v>
      </c>
      <c r="E186" s="1">
        <v>0</v>
      </c>
      <c r="F186" s="1">
        <v>1</v>
      </c>
    </row>
    <row r="187" spans="1:6">
      <c r="A187">
        <v>2017</v>
      </c>
      <c r="B187" s="25">
        <v>97.2</v>
      </c>
      <c r="C187" s="25">
        <v>88.064999999999998</v>
      </c>
      <c r="D187" s="1">
        <v>0</v>
      </c>
      <c r="E187" s="1">
        <v>0</v>
      </c>
      <c r="F187" s="1">
        <v>1</v>
      </c>
    </row>
    <row r="188" spans="1:6">
      <c r="A188">
        <v>2018</v>
      </c>
      <c r="B188" s="23">
        <v>95.8</v>
      </c>
      <c r="C188" s="23">
        <v>76.95</v>
      </c>
      <c r="D188" s="7">
        <v>1</v>
      </c>
      <c r="E188" s="1">
        <v>0</v>
      </c>
      <c r="F188" s="1">
        <v>0</v>
      </c>
    </row>
    <row r="189" spans="1:6">
      <c r="A189">
        <v>2018</v>
      </c>
      <c r="B189" s="23">
        <v>94.4</v>
      </c>
      <c r="C189" s="23">
        <v>83.314999999999998</v>
      </c>
      <c r="D189" s="7">
        <v>1</v>
      </c>
      <c r="E189" s="1">
        <v>0</v>
      </c>
      <c r="F189" s="1">
        <v>0</v>
      </c>
    </row>
    <row r="190" spans="1:6">
      <c r="A190">
        <v>2018</v>
      </c>
      <c r="B190" s="23">
        <v>93.2</v>
      </c>
      <c r="C190" s="23">
        <v>80.844999999999999</v>
      </c>
      <c r="D190" s="7">
        <v>1</v>
      </c>
      <c r="E190" s="1">
        <v>0</v>
      </c>
      <c r="F190" s="1">
        <v>0</v>
      </c>
    </row>
    <row r="191" spans="1:6">
      <c r="A191">
        <v>2018</v>
      </c>
      <c r="B191" s="23">
        <v>85.5</v>
      </c>
      <c r="C191" s="23">
        <v>61</v>
      </c>
      <c r="D191" s="7">
        <v>1</v>
      </c>
      <c r="E191" s="1">
        <v>0</v>
      </c>
      <c r="F191" s="1">
        <v>0</v>
      </c>
    </row>
    <row r="192" spans="1:6">
      <c r="A192">
        <v>2018</v>
      </c>
      <c r="B192" s="23">
        <v>96.4</v>
      </c>
      <c r="C192" s="23">
        <v>69.064999999999998</v>
      </c>
      <c r="D192" s="7">
        <v>1</v>
      </c>
      <c r="E192" s="1">
        <v>0</v>
      </c>
      <c r="F192" s="1">
        <v>0</v>
      </c>
    </row>
    <row r="193" spans="1:6">
      <c r="A193">
        <v>2018</v>
      </c>
      <c r="B193" s="23">
        <v>0.94199999999999995</v>
      </c>
      <c r="C193" s="23">
        <v>80.94</v>
      </c>
      <c r="D193" s="7">
        <v>1</v>
      </c>
      <c r="E193" s="1">
        <v>0</v>
      </c>
      <c r="F193" s="1">
        <v>0</v>
      </c>
    </row>
    <row r="194" spans="1:6">
      <c r="A194">
        <v>2018</v>
      </c>
      <c r="B194" s="23">
        <v>93.2</v>
      </c>
      <c r="C194" s="23">
        <v>80.084999999999994</v>
      </c>
      <c r="D194" s="7">
        <v>1</v>
      </c>
      <c r="E194" s="1">
        <v>0</v>
      </c>
      <c r="F194" s="1">
        <v>0</v>
      </c>
    </row>
    <row r="195" spans="1:6">
      <c r="A195">
        <v>2018</v>
      </c>
      <c r="B195" s="23">
        <v>90.8</v>
      </c>
      <c r="C195" s="23">
        <v>79.705000000000013</v>
      </c>
      <c r="D195" s="7">
        <v>1</v>
      </c>
      <c r="E195" s="1">
        <v>0</v>
      </c>
      <c r="F195" s="1">
        <v>0</v>
      </c>
    </row>
    <row r="196" spans="1:6">
      <c r="A196">
        <v>2018</v>
      </c>
      <c r="B196" s="23">
        <v>97</v>
      </c>
      <c r="C196" s="23">
        <v>86.830000000000013</v>
      </c>
      <c r="D196" s="7">
        <v>1</v>
      </c>
      <c r="E196" s="1">
        <v>0</v>
      </c>
      <c r="F196" s="1">
        <v>0</v>
      </c>
    </row>
    <row r="197" spans="1:6">
      <c r="A197">
        <v>2018</v>
      </c>
      <c r="B197" s="23">
        <v>0.95599999999999996</v>
      </c>
      <c r="C197" s="23">
        <v>74.954999999999998</v>
      </c>
      <c r="D197" s="7">
        <v>1</v>
      </c>
      <c r="E197" s="1">
        <v>0</v>
      </c>
      <c r="F197" s="1">
        <v>0</v>
      </c>
    </row>
    <row r="198" spans="1:6">
      <c r="A198">
        <v>2018</v>
      </c>
      <c r="B198" s="23">
        <v>96.8</v>
      </c>
      <c r="C198" s="23">
        <v>88.710999999999999</v>
      </c>
      <c r="D198" s="7">
        <v>1</v>
      </c>
      <c r="E198" s="1">
        <v>0</v>
      </c>
      <c r="F198" s="1">
        <v>0</v>
      </c>
    </row>
    <row r="199" spans="1:6">
      <c r="A199">
        <v>2018</v>
      </c>
      <c r="B199" s="23">
        <v>97</v>
      </c>
      <c r="C199" s="23">
        <v>87.941499999999991</v>
      </c>
      <c r="D199" s="7">
        <v>1</v>
      </c>
      <c r="E199" s="1">
        <v>0</v>
      </c>
      <c r="F199" s="1">
        <v>0</v>
      </c>
    </row>
    <row r="200" spans="1:6">
      <c r="A200">
        <v>2018</v>
      </c>
      <c r="B200" s="23">
        <v>89.8</v>
      </c>
      <c r="C200" s="23">
        <v>69.73</v>
      </c>
      <c r="D200" s="7">
        <v>1</v>
      </c>
      <c r="E200" s="1">
        <v>0</v>
      </c>
      <c r="F200" s="1">
        <v>0</v>
      </c>
    </row>
    <row r="201" spans="1:6">
      <c r="A201">
        <v>2018</v>
      </c>
      <c r="B201" s="23">
        <v>87</v>
      </c>
      <c r="C201" s="23">
        <v>79.894999999999996</v>
      </c>
      <c r="D201" s="7">
        <v>1</v>
      </c>
      <c r="E201" s="1">
        <v>0</v>
      </c>
      <c r="F201" s="1">
        <v>0</v>
      </c>
    </row>
    <row r="202" spans="1:6">
      <c r="A202">
        <v>2018</v>
      </c>
      <c r="B202" s="23">
        <v>93</v>
      </c>
      <c r="C202" s="23">
        <v>79.040000000000006</v>
      </c>
      <c r="D202" s="7">
        <v>1</v>
      </c>
      <c r="E202" s="1">
        <v>0</v>
      </c>
      <c r="F202" s="1">
        <v>0</v>
      </c>
    </row>
    <row r="203" spans="1:6">
      <c r="A203">
        <v>2018</v>
      </c>
      <c r="B203" s="23">
        <v>94.4</v>
      </c>
      <c r="C203" s="23">
        <v>83.923000000000002</v>
      </c>
      <c r="D203" s="7">
        <v>1</v>
      </c>
      <c r="E203" s="1">
        <v>0</v>
      </c>
      <c r="F203" s="1">
        <v>0</v>
      </c>
    </row>
    <row r="204" spans="1:6">
      <c r="A204">
        <v>2018</v>
      </c>
      <c r="B204" s="23">
        <v>84.8</v>
      </c>
      <c r="C204" s="23">
        <v>59.185000000000002</v>
      </c>
      <c r="D204" s="7">
        <v>1</v>
      </c>
      <c r="E204" s="1">
        <v>0</v>
      </c>
      <c r="F204" s="1">
        <v>0</v>
      </c>
    </row>
    <row r="205" spans="1:6">
      <c r="A205">
        <v>2018</v>
      </c>
      <c r="B205" s="23">
        <v>87.75</v>
      </c>
      <c r="C205" s="23">
        <v>75.715000000000003</v>
      </c>
      <c r="D205" s="7">
        <v>1</v>
      </c>
      <c r="E205" s="1">
        <v>0</v>
      </c>
      <c r="F205" s="1">
        <v>0</v>
      </c>
    </row>
    <row r="206" spans="1:6">
      <c r="A206">
        <v>2018</v>
      </c>
      <c r="B206" s="23">
        <v>92</v>
      </c>
      <c r="C206" s="23">
        <v>81.605000000000004</v>
      </c>
      <c r="D206" s="7">
        <v>1</v>
      </c>
      <c r="E206" s="1">
        <v>0</v>
      </c>
      <c r="F206" s="1">
        <v>0</v>
      </c>
    </row>
    <row r="207" spans="1:6">
      <c r="A207">
        <v>2018</v>
      </c>
      <c r="B207" s="23">
        <v>94.4</v>
      </c>
      <c r="C207" s="23">
        <v>78.308500000000009</v>
      </c>
      <c r="D207" s="1">
        <v>0</v>
      </c>
      <c r="E207" s="1">
        <v>1</v>
      </c>
      <c r="F207" s="1">
        <v>0</v>
      </c>
    </row>
    <row r="208" spans="1:6">
      <c r="A208">
        <v>2018</v>
      </c>
      <c r="B208" s="23">
        <v>95.6</v>
      </c>
      <c r="C208" s="23">
        <v>87.4285</v>
      </c>
      <c r="D208" s="1">
        <v>0</v>
      </c>
      <c r="E208" s="1">
        <v>1</v>
      </c>
      <c r="F208" s="1">
        <v>0</v>
      </c>
    </row>
    <row r="209" spans="1:6">
      <c r="A209">
        <v>2018</v>
      </c>
      <c r="B209" s="23">
        <v>97.25</v>
      </c>
      <c r="C209" s="23">
        <v>76.513000000000005</v>
      </c>
      <c r="D209" s="1">
        <v>0</v>
      </c>
      <c r="E209" s="1">
        <v>1</v>
      </c>
      <c r="F209" s="1">
        <v>0</v>
      </c>
    </row>
    <row r="210" spans="1:6">
      <c r="A210">
        <v>2018</v>
      </c>
      <c r="B210" s="23">
        <v>88.6</v>
      </c>
      <c r="C210" s="23">
        <v>77.52</v>
      </c>
      <c r="D210" s="1">
        <v>0</v>
      </c>
      <c r="E210" s="1">
        <v>1</v>
      </c>
      <c r="F210" s="1">
        <v>0</v>
      </c>
    </row>
    <row r="211" spans="1:6">
      <c r="A211">
        <v>2018</v>
      </c>
      <c r="B211" s="23">
        <v>97.6</v>
      </c>
      <c r="C211" s="23">
        <v>84.217500000000001</v>
      </c>
      <c r="D211" s="1">
        <v>0</v>
      </c>
      <c r="E211" s="1">
        <v>1</v>
      </c>
      <c r="F211" s="1">
        <v>0</v>
      </c>
    </row>
    <row r="212" spans="1:6">
      <c r="A212">
        <v>2018</v>
      </c>
      <c r="B212" s="23">
        <v>97.4</v>
      </c>
      <c r="C212" s="23">
        <v>78.850000000000009</v>
      </c>
      <c r="D212" s="1">
        <v>0</v>
      </c>
      <c r="E212" s="1">
        <v>1</v>
      </c>
      <c r="F212" s="1">
        <v>0</v>
      </c>
    </row>
    <row r="213" spans="1:6">
      <c r="A213">
        <v>2018</v>
      </c>
      <c r="B213" s="23">
        <v>91.6</v>
      </c>
      <c r="C213" s="23">
        <v>75.097499999999997</v>
      </c>
      <c r="D213" s="1">
        <v>0</v>
      </c>
      <c r="E213" s="1">
        <v>1</v>
      </c>
      <c r="F213" s="1">
        <v>0</v>
      </c>
    </row>
    <row r="214" spans="1:6">
      <c r="A214">
        <v>2018</v>
      </c>
      <c r="B214" s="23">
        <v>90.4</v>
      </c>
      <c r="C214" s="23">
        <v>64.599999999999994</v>
      </c>
      <c r="D214" s="1">
        <v>0</v>
      </c>
      <c r="E214" s="1">
        <v>1</v>
      </c>
      <c r="F214" s="1">
        <v>0</v>
      </c>
    </row>
    <row r="215" spans="1:6">
      <c r="A215">
        <v>2018</v>
      </c>
      <c r="B215" s="23">
        <v>91.4</v>
      </c>
      <c r="C215" s="23">
        <v>61.236999999999995</v>
      </c>
      <c r="D215" s="1">
        <v>0</v>
      </c>
      <c r="E215" s="1">
        <v>1</v>
      </c>
      <c r="F215" s="1">
        <v>0</v>
      </c>
    </row>
    <row r="216" spans="1:6">
      <c r="A216">
        <v>2018</v>
      </c>
      <c r="B216" s="23">
        <v>87.6</v>
      </c>
      <c r="C216" s="23">
        <v>79.894999999999996</v>
      </c>
      <c r="D216" s="1">
        <v>0</v>
      </c>
      <c r="E216" s="1">
        <v>0</v>
      </c>
      <c r="F216" s="1">
        <v>1</v>
      </c>
    </row>
    <row r="217" spans="1:6">
      <c r="A217">
        <v>2018</v>
      </c>
      <c r="B217" s="23">
        <v>97.6</v>
      </c>
      <c r="C217" s="23">
        <v>88.064999999999998</v>
      </c>
      <c r="D217" s="1">
        <v>0</v>
      </c>
      <c r="E217" s="1">
        <v>0</v>
      </c>
      <c r="F217" s="1">
        <v>1</v>
      </c>
    </row>
    <row r="218" spans="1:6">
      <c r="A218">
        <v>2018</v>
      </c>
      <c r="B218" s="23">
        <v>98.2</v>
      </c>
      <c r="C218" s="23">
        <v>89.394999999999996</v>
      </c>
      <c r="D218" s="1">
        <v>0</v>
      </c>
      <c r="E218" s="1">
        <v>0</v>
      </c>
      <c r="F218" s="1">
        <v>1</v>
      </c>
    </row>
    <row r="219" spans="1:6">
      <c r="A219">
        <v>2018</v>
      </c>
      <c r="B219" s="23">
        <v>97.4</v>
      </c>
      <c r="C219" s="23">
        <v>89.679999999999993</v>
      </c>
      <c r="D219" s="1">
        <v>0</v>
      </c>
      <c r="E219" s="1">
        <v>0</v>
      </c>
      <c r="F219" s="1">
        <v>1</v>
      </c>
    </row>
    <row r="220" spans="1:6">
      <c r="A220">
        <v>2018</v>
      </c>
      <c r="B220" s="23">
        <v>91.6</v>
      </c>
      <c r="C220" s="23">
        <v>81.034999999999997</v>
      </c>
      <c r="D220" s="1">
        <v>0</v>
      </c>
      <c r="E220" s="1">
        <v>0</v>
      </c>
      <c r="F220" s="1">
        <v>1</v>
      </c>
    </row>
    <row r="221" spans="1:6">
      <c r="A221">
        <v>2018</v>
      </c>
      <c r="B221" s="23">
        <v>98.4</v>
      </c>
      <c r="C221" s="23">
        <v>92.814999999999998</v>
      </c>
      <c r="D221" s="1">
        <v>0</v>
      </c>
      <c r="E221" s="1">
        <v>0</v>
      </c>
      <c r="F221" s="1">
        <v>1</v>
      </c>
    </row>
    <row r="222" spans="1:6">
      <c r="A222">
        <v>2018</v>
      </c>
      <c r="B222" s="23">
        <v>96.2</v>
      </c>
      <c r="C222" s="23">
        <v>91.105000000000004</v>
      </c>
      <c r="D222" s="1">
        <v>0</v>
      </c>
      <c r="E222" s="1">
        <v>0</v>
      </c>
      <c r="F222" s="1">
        <v>1</v>
      </c>
    </row>
    <row r="223" spans="1:6">
      <c r="A223">
        <v>2018</v>
      </c>
      <c r="B223" s="23">
        <v>95.2</v>
      </c>
      <c r="C223" s="23">
        <v>74.67</v>
      </c>
      <c r="D223" s="1">
        <v>0</v>
      </c>
      <c r="E223" s="1">
        <v>0</v>
      </c>
      <c r="F223" s="1">
        <v>1</v>
      </c>
    </row>
    <row r="224" spans="1:6">
      <c r="A224">
        <v>2018</v>
      </c>
      <c r="B224" s="23">
        <v>96.8</v>
      </c>
      <c r="C224" s="23">
        <v>83.314999999999998</v>
      </c>
      <c r="D224" s="1">
        <v>0</v>
      </c>
      <c r="E224" s="1">
        <v>0</v>
      </c>
      <c r="F224" s="1">
        <v>1</v>
      </c>
    </row>
    <row r="225" spans="1:6">
      <c r="A225">
        <v>2018</v>
      </c>
      <c r="B225" s="23">
        <v>94.2</v>
      </c>
      <c r="C225" s="23">
        <v>87.295500000000004</v>
      </c>
      <c r="D225" s="1">
        <v>0</v>
      </c>
      <c r="E225" s="1">
        <v>0</v>
      </c>
      <c r="F225" s="1">
        <v>1</v>
      </c>
    </row>
    <row r="226" spans="1:6">
      <c r="A226">
        <v>2018</v>
      </c>
      <c r="B226" s="23">
        <v>95.4</v>
      </c>
      <c r="C226" s="23">
        <v>76.094999999999999</v>
      </c>
      <c r="D226" s="1">
        <v>0</v>
      </c>
      <c r="E226" s="1">
        <v>0</v>
      </c>
      <c r="F226" s="1">
        <v>1</v>
      </c>
    </row>
    <row r="227" spans="1:6">
      <c r="A227">
        <v>2018</v>
      </c>
      <c r="B227" s="23">
        <v>70.599999999999994</v>
      </c>
      <c r="C227" s="23">
        <v>74.290000000000006</v>
      </c>
      <c r="D227" s="1">
        <v>0</v>
      </c>
      <c r="E227" s="1">
        <v>0</v>
      </c>
      <c r="F227" s="1">
        <v>1</v>
      </c>
    </row>
    <row r="228" spans="1:6">
      <c r="A228">
        <v>2018</v>
      </c>
      <c r="B228" s="23">
        <v>97.8</v>
      </c>
      <c r="C228" s="23">
        <v>86.26</v>
      </c>
      <c r="D228" s="1">
        <v>0</v>
      </c>
      <c r="E228" s="1">
        <v>0</v>
      </c>
      <c r="F228" s="1">
        <v>1</v>
      </c>
    </row>
    <row r="229" spans="1:6">
      <c r="A229">
        <v>2018</v>
      </c>
      <c r="B229" s="23">
        <v>94.8</v>
      </c>
      <c r="C229" s="23">
        <v>77.795500000000004</v>
      </c>
      <c r="D229" s="1">
        <v>0</v>
      </c>
      <c r="E229" s="1">
        <v>0</v>
      </c>
      <c r="F229" s="1">
        <v>1</v>
      </c>
    </row>
    <row r="230" spans="1:6">
      <c r="A230">
        <v>2018</v>
      </c>
      <c r="B230" s="23">
        <v>0.94399999999999995</v>
      </c>
      <c r="C230" s="23">
        <v>72.484999999999999</v>
      </c>
      <c r="D230" s="1">
        <v>0</v>
      </c>
      <c r="E230" s="1">
        <v>0</v>
      </c>
      <c r="F230" s="1">
        <v>1</v>
      </c>
    </row>
    <row r="231" spans="1:6">
      <c r="A231">
        <v>2018</v>
      </c>
      <c r="B231" s="23">
        <v>95.6</v>
      </c>
      <c r="C231" s="23">
        <v>80.103999999999999</v>
      </c>
      <c r="D231" s="1">
        <v>0</v>
      </c>
      <c r="E231" s="1">
        <v>0</v>
      </c>
      <c r="F231" s="1">
        <v>1</v>
      </c>
    </row>
    <row r="232" spans="1:6">
      <c r="A232">
        <v>2018</v>
      </c>
      <c r="B232" s="23">
        <v>96</v>
      </c>
      <c r="C232" s="23">
        <v>80.844999999999999</v>
      </c>
      <c r="D232" s="1">
        <v>0</v>
      </c>
      <c r="E232" s="1">
        <v>0</v>
      </c>
      <c r="F232" s="1">
        <v>1</v>
      </c>
    </row>
    <row r="233" spans="1:6">
      <c r="A233">
        <v>2018</v>
      </c>
      <c r="B233" s="23">
        <v>89.4</v>
      </c>
      <c r="C233" s="27">
        <v>76</v>
      </c>
      <c r="D233" s="1">
        <v>0</v>
      </c>
      <c r="E233" s="1">
        <v>0</v>
      </c>
      <c r="F233" s="1">
        <v>1</v>
      </c>
    </row>
    <row r="234" spans="1:6">
      <c r="A234">
        <v>2018</v>
      </c>
      <c r="B234" s="23">
        <v>98</v>
      </c>
      <c r="C234" s="23">
        <v>87.685000000000002</v>
      </c>
      <c r="D234" s="1">
        <v>0</v>
      </c>
      <c r="E234" s="1">
        <v>0</v>
      </c>
      <c r="F234" s="1">
        <v>1</v>
      </c>
    </row>
    <row r="235" spans="1:6">
      <c r="A235">
        <v>2018</v>
      </c>
      <c r="B235" s="23">
        <v>99.2</v>
      </c>
      <c r="C235" s="23">
        <v>87.685000000000002</v>
      </c>
      <c r="D235" s="1">
        <v>0</v>
      </c>
      <c r="E235" s="1">
        <v>0</v>
      </c>
      <c r="F235" s="1">
        <v>1</v>
      </c>
    </row>
    <row r="236" spans="1:6">
      <c r="A236">
        <v>2018</v>
      </c>
      <c r="B236" s="23">
        <v>94.8</v>
      </c>
      <c r="C236" s="23">
        <v>89.679999999999993</v>
      </c>
      <c r="D236" s="1">
        <v>0</v>
      </c>
      <c r="E236" s="1">
        <v>0</v>
      </c>
      <c r="F236" s="1">
        <v>1</v>
      </c>
    </row>
    <row r="237" spans="1:6">
      <c r="A237">
        <v>2018</v>
      </c>
      <c r="B237" s="23">
        <v>97.8</v>
      </c>
      <c r="C237" s="23">
        <v>89.860500000000002</v>
      </c>
      <c r="D237" s="1">
        <v>0</v>
      </c>
      <c r="E237" s="1">
        <v>0</v>
      </c>
      <c r="F237" s="1">
        <v>1</v>
      </c>
    </row>
    <row r="238" spans="1:6">
      <c r="A238">
        <v>2018</v>
      </c>
      <c r="B238" s="23">
        <v>95</v>
      </c>
      <c r="C238" s="23">
        <v>81.889999999999986</v>
      </c>
      <c r="D238" s="1">
        <v>0</v>
      </c>
      <c r="E238" s="1">
        <v>0</v>
      </c>
      <c r="F238" s="1">
        <v>1</v>
      </c>
    </row>
    <row r="239" spans="1:6">
      <c r="A239">
        <v>2018</v>
      </c>
      <c r="B239" s="23">
        <v>0.84599999999999997</v>
      </c>
      <c r="C239" s="23">
        <v>63.08</v>
      </c>
      <c r="D239" s="1">
        <v>0</v>
      </c>
      <c r="E239" s="1">
        <v>0</v>
      </c>
      <c r="F239" s="1">
        <v>1</v>
      </c>
    </row>
    <row r="240" spans="1:6">
      <c r="A240">
        <v>2018</v>
      </c>
      <c r="B240" s="23">
        <v>95.4</v>
      </c>
      <c r="C240" s="23">
        <v>81.415000000000006</v>
      </c>
      <c r="D240" s="1">
        <v>0</v>
      </c>
      <c r="E240" s="1">
        <v>0</v>
      </c>
      <c r="F240" s="1">
        <v>1</v>
      </c>
    </row>
    <row r="241" spans="1:6">
      <c r="A241">
        <v>2018</v>
      </c>
      <c r="B241" s="23">
        <v>97.2</v>
      </c>
      <c r="C241" s="23">
        <v>86.52600000000001</v>
      </c>
      <c r="D241" s="1">
        <v>0</v>
      </c>
      <c r="E241" s="1">
        <v>0</v>
      </c>
      <c r="F241" s="1">
        <v>1</v>
      </c>
    </row>
    <row r="242" spans="1:6">
      <c r="A242">
        <v>2018</v>
      </c>
      <c r="B242" s="23">
        <v>98.4</v>
      </c>
      <c r="C242" s="23">
        <v>91.038499999999999</v>
      </c>
      <c r="D242" s="1">
        <v>0</v>
      </c>
      <c r="E242" s="1">
        <v>0</v>
      </c>
      <c r="F242" s="1">
        <v>1</v>
      </c>
    </row>
    <row r="243" spans="1:6">
      <c r="A243">
        <v>2018</v>
      </c>
      <c r="B243" s="23">
        <v>90.8</v>
      </c>
      <c r="C243" s="23">
        <v>72.864999999999995</v>
      </c>
      <c r="D243" s="1">
        <v>0</v>
      </c>
      <c r="E243" s="1">
        <v>0</v>
      </c>
      <c r="F243" s="1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6412-6CCF-4C67-967C-1054A9C12F76}">
  <sheetPr codeName="Sheet2"/>
  <dimension ref="A1:AP80"/>
  <sheetViews>
    <sheetView topLeftCell="Y12" workbookViewId="0">
      <selection activeCell="AI14" sqref="AI14:AP15"/>
    </sheetView>
  </sheetViews>
  <sheetFormatPr defaultRowHeight="14.4"/>
  <sheetData>
    <row r="1" spans="1:42">
      <c r="A1">
        <v>2013</v>
      </c>
      <c r="H1">
        <v>2019</v>
      </c>
      <c r="N1">
        <v>2020</v>
      </c>
      <c r="T1">
        <v>2021</v>
      </c>
      <c r="Y1">
        <v>2023</v>
      </c>
      <c r="AD1">
        <v>2022</v>
      </c>
    </row>
    <row r="2" spans="1:42" ht="66.599999999999994">
      <c r="A2" s="2" t="s">
        <v>21</v>
      </c>
      <c r="B2" s="2" t="s">
        <v>22</v>
      </c>
      <c r="C2" s="2" t="s">
        <v>23</v>
      </c>
      <c r="D2" s="2" t="s">
        <v>24</v>
      </c>
      <c r="E2" s="2" t="s">
        <v>25</v>
      </c>
      <c r="F2" s="2" t="s">
        <v>26</v>
      </c>
      <c r="H2" t="s">
        <v>82</v>
      </c>
      <c r="I2" t="s">
        <v>83</v>
      </c>
      <c r="J2" t="s">
        <v>84</v>
      </c>
      <c r="K2" t="s">
        <v>85</v>
      </c>
      <c r="L2" t="s">
        <v>21</v>
      </c>
      <c r="N2" s="4" t="s">
        <v>82</v>
      </c>
      <c r="O2" s="4" t="s">
        <v>83</v>
      </c>
      <c r="P2" s="4" t="s">
        <v>21</v>
      </c>
      <c r="Q2" s="4" t="s">
        <v>84</v>
      </c>
      <c r="R2" s="4" t="s">
        <v>85</v>
      </c>
      <c r="T2" t="s">
        <v>82</v>
      </c>
      <c r="U2" t="s">
        <v>21</v>
      </c>
      <c r="V2" t="s">
        <v>84</v>
      </c>
      <c r="W2" t="s">
        <v>85</v>
      </c>
      <c r="Y2" s="10" t="s">
        <v>82</v>
      </c>
      <c r="Z2" s="10" t="s">
        <v>21</v>
      </c>
      <c r="AA2" s="10" t="s">
        <v>84</v>
      </c>
      <c r="AB2" s="10" t="s">
        <v>85</v>
      </c>
      <c r="AD2" s="14" t="s">
        <v>82</v>
      </c>
      <c r="AE2" s="15" t="s">
        <v>21</v>
      </c>
      <c r="AF2" s="15" t="s">
        <v>84</v>
      </c>
      <c r="AG2" s="14" t="s">
        <v>85</v>
      </c>
    </row>
    <row r="3" spans="1:42" ht="27">
      <c r="A3" s="1" t="s">
        <v>0</v>
      </c>
      <c r="B3" s="1">
        <v>90.6</v>
      </c>
      <c r="C3" s="1">
        <v>93.8</v>
      </c>
      <c r="D3" s="1">
        <v>76.8</v>
      </c>
      <c r="E3" s="1">
        <v>69.14</v>
      </c>
      <c r="F3" s="1" t="s">
        <v>1</v>
      </c>
      <c r="H3" s="3">
        <v>95.6</v>
      </c>
      <c r="I3" s="3" t="s">
        <v>27</v>
      </c>
      <c r="J3" s="3" t="s">
        <v>28</v>
      </c>
      <c r="K3" s="3">
        <v>82.11</v>
      </c>
      <c r="L3" s="3" t="s">
        <v>0</v>
      </c>
      <c r="N3" s="4">
        <v>96.2</v>
      </c>
      <c r="O3" s="4" t="s">
        <v>86</v>
      </c>
      <c r="P3" s="4" t="s">
        <v>87</v>
      </c>
      <c r="Q3" s="4" t="s">
        <v>28</v>
      </c>
      <c r="R3" s="4" t="s">
        <v>88</v>
      </c>
      <c r="T3">
        <v>95.4</v>
      </c>
      <c r="U3" t="s">
        <v>0</v>
      </c>
      <c r="V3" t="s">
        <v>28</v>
      </c>
      <c r="W3" t="s">
        <v>158</v>
      </c>
      <c r="Y3" s="7">
        <v>95.8</v>
      </c>
      <c r="Z3" s="7" t="s">
        <v>0</v>
      </c>
      <c r="AA3" s="7" t="s">
        <v>28</v>
      </c>
      <c r="AB3" s="7" t="s">
        <v>191</v>
      </c>
      <c r="AD3" s="11">
        <v>96.75</v>
      </c>
      <c r="AE3" s="3" t="s">
        <v>91</v>
      </c>
      <c r="AF3" s="3" t="s">
        <v>28</v>
      </c>
      <c r="AG3" s="11">
        <v>8.24</v>
      </c>
      <c r="AI3" s="16" t="s">
        <v>301</v>
      </c>
      <c r="AJ3" s="16" t="s">
        <v>313</v>
      </c>
      <c r="AK3" s="16">
        <v>2008</v>
      </c>
      <c r="AL3" s="16">
        <v>2014</v>
      </c>
      <c r="AM3" s="16">
        <v>2015</v>
      </c>
      <c r="AN3" s="16">
        <v>2016</v>
      </c>
      <c r="AO3" s="16">
        <v>2017</v>
      </c>
      <c r="AP3" s="16">
        <v>2018</v>
      </c>
    </row>
    <row r="4" spans="1:42" ht="40.200000000000003">
      <c r="A4" s="1" t="s">
        <v>0</v>
      </c>
      <c r="B4" s="1">
        <v>84</v>
      </c>
      <c r="C4" s="1">
        <v>91.2</v>
      </c>
      <c r="D4" s="1">
        <v>76</v>
      </c>
      <c r="E4" s="1">
        <v>43.71</v>
      </c>
      <c r="F4" s="1" t="s">
        <v>2</v>
      </c>
      <c r="H4" s="3">
        <v>94.8</v>
      </c>
      <c r="I4" s="3" t="s">
        <v>29</v>
      </c>
      <c r="J4" s="3" t="s">
        <v>28</v>
      </c>
      <c r="K4" s="3">
        <v>75.760000000000005</v>
      </c>
      <c r="L4" s="3" t="s">
        <v>0</v>
      </c>
      <c r="N4" s="4">
        <v>96</v>
      </c>
      <c r="O4" s="4" t="s">
        <v>89</v>
      </c>
      <c r="P4" s="4" t="s">
        <v>87</v>
      </c>
      <c r="Q4" s="4" t="s">
        <v>28</v>
      </c>
      <c r="R4" s="4">
        <v>82.46</v>
      </c>
      <c r="T4">
        <v>96.2</v>
      </c>
      <c r="U4" t="s">
        <v>159</v>
      </c>
      <c r="V4" t="s">
        <v>28</v>
      </c>
      <c r="W4" t="s">
        <v>88</v>
      </c>
      <c r="Y4" s="7">
        <v>94.4</v>
      </c>
      <c r="Z4" s="7" t="s">
        <v>91</v>
      </c>
      <c r="AA4" s="7" t="s">
        <v>28</v>
      </c>
      <c r="AB4" s="7" t="s">
        <v>192</v>
      </c>
      <c r="AD4" s="11">
        <v>96.8</v>
      </c>
      <c r="AE4" s="3" t="s">
        <v>3</v>
      </c>
      <c r="AF4" s="3" t="s">
        <v>28</v>
      </c>
      <c r="AG4" s="11">
        <v>7.45</v>
      </c>
      <c r="AI4" s="16" t="s">
        <v>91</v>
      </c>
      <c r="AJ4" s="16" t="s">
        <v>309</v>
      </c>
      <c r="AL4">
        <v>97.25</v>
      </c>
      <c r="AM4">
        <v>97.5</v>
      </c>
      <c r="AN4">
        <v>96.25</v>
      </c>
      <c r="AO4">
        <v>96.75</v>
      </c>
      <c r="AP4">
        <v>96.75</v>
      </c>
    </row>
    <row r="5" spans="1:42" ht="27">
      <c r="A5" s="1" t="s">
        <v>3</v>
      </c>
      <c r="B5" s="1">
        <v>75</v>
      </c>
      <c r="C5" s="1">
        <v>80</v>
      </c>
      <c r="D5" s="1">
        <v>77.11</v>
      </c>
      <c r="E5" s="1">
        <v>58.14</v>
      </c>
      <c r="F5" s="1" t="s">
        <v>4</v>
      </c>
      <c r="H5" s="3">
        <v>96.2</v>
      </c>
      <c r="I5" s="3" t="s">
        <v>30</v>
      </c>
      <c r="J5" s="3" t="s">
        <v>28</v>
      </c>
      <c r="K5" s="3">
        <v>6.45</v>
      </c>
      <c r="L5" s="3" t="s">
        <v>31</v>
      </c>
      <c r="N5" s="4">
        <v>83.6</v>
      </c>
      <c r="O5" s="4" t="s">
        <v>90</v>
      </c>
      <c r="P5" s="4" t="s">
        <v>91</v>
      </c>
      <c r="Q5" s="4" t="s">
        <v>28</v>
      </c>
      <c r="R5" s="4">
        <v>5.12</v>
      </c>
      <c r="T5">
        <v>96</v>
      </c>
      <c r="U5" t="s">
        <v>87</v>
      </c>
      <c r="V5" t="s">
        <v>28</v>
      </c>
      <c r="W5">
        <v>82.46</v>
      </c>
      <c r="Y5" s="7">
        <v>93.2</v>
      </c>
      <c r="Z5" s="7" t="s">
        <v>3</v>
      </c>
      <c r="AA5" s="7" t="s">
        <v>28</v>
      </c>
      <c r="AB5" s="7" t="s">
        <v>193</v>
      </c>
      <c r="AD5" s="11">
        <v>96.4</v>
      </c>
      <c r="AE5" s="3" t="s">
        <v>3</v>
      </c>
      <c r="AF5" s="3" t="s">
        <v>28</v>
      </c>
      <c r="AG5" s="11">
        <v>8.82</v>
      </c>
      <c r="AI5" s="16" t="s">
        <v>91</v>
      </c>
      <c r="AJ5" s="16" t="s">
        <v>310</v>
      </c>
      <c r="AL5">
        <v>95</v>
      </c>
      <c r="AM5">
        <v>95</v>
      </c>
      <c r="AN5">
        <v>93</v>
      </c>
      <c r="AO5">
        <v>91.5</v>
      </c>
      <c r="AP5">
        <v>92.75</v>
      </c>
    </row>
    <row r="6" spans="1:42" ht="40.200000000000003">
      <c r="A6" s="1" t="s">
        <v>3</v>
      </c>
      <c r="B6" s="1">
        <v>85.4</v>
      </c>
      <c r="C6" s="1">
        <v>93.6</v>
      </c>
      <c r="D6" s="1">
        <v>67</v>
      </c>
      <c r="E6" s="1">
        <v>49</v>
      </c>
      <c r="F6" s="1" t="s">
        <v>5</v>
      </c>
      <c r="H6" s="3">
        <v>96.2</v>
      </c>
      <c r="I6" s="3" t="s">
        <v>32</v>
      </c>
      <c r="J6" s="3" t="s">
        <v>28</v>
      </c>
      <c r="K6" s="3">
        <v>84.08</v>
      </c>
      <c r="L6" s="3" t="s">
        <v>3</v>
      </c>
      <c r="N6" s="4">
        <v>96.6</v>
      </c>
      <c r="O6" s="4" t="s">
        <v>92</v>
      </c>
      <c r="P6" s="4" t="s">
        <v>3</v>
      </c>
      <c r="Q6" s="4" t="s">
        <v>28</v>
      </c>
      <c r="R6" s="4" t="s">
        <v>93</v>
      </c>
      <c r="T6">
        <v>93.2</v>
      </c>
      <c r="U6" t="s">
        <v>91</v>
      </c>
      <c r="V6" t="s">
        <v>28</v>
      </c>
      <c r="W6">
        <v>7.351</v>
      </c>
      <c r="Y6" s="7">
        <v>85.5</v>
      </c>
      <c r="Z6" s="7" t="s">
        <v>3</v>
      </c>
      <c r="AA6" s="7" t="s">
        <v>28</v>
      </c>
      <c r="AB6" s="7">
        <v>61</v>
      </c>
      <c r="AD6" s="11">
        <v>96.6</v>
      </c>
      <c r="AE6" s="3" t="s">
        <v>3</v>
      </c>
      <c r="AF6" s="3" t="s">
        <v>28</v>
      </c>
      <c r="AG6" s="11" t="s">
        <v>234</v>
      </c>
      <c r="AI6" s="16" t="s">
        <v>91</v>
      </c>
      <c r="AJ6" s="16" t="s">
        <v>311</v>
      </c>
      <c r="AL6">
        <v>92</v>
      </c>
      <c r="AM6">
        <v>94</v>
      </c>
      <c r="AN6">
        <v>84</v>
      </c>
      <c r="AO6">
        <v>86.75</v>
      </c>
      <c r="AP6">
        <v>88.75</v>
      </c>
    </row>
    <row r="7" spans="1:42" ht="40.200000000000003">
      <c r="A7" s="1" t="s">
        <v>3</v>
      </c>
      <c r="B7" s="1">
        <v>91.6</v>
      </c>
      <c r="C7" s="1">
        <v>92</v>
      </c>
      <c r="D7" s="1">
        <v>74.099999999999994</v>
      </c>
      <c r="E7" s="1">
        <v>64.86</v>
      </c>
      <c r="F7" s="1" t="s">
        <v>5</v>
      </c>
      <c r="H7" s="3">
        <v>97</v>
      </c>
      <c r="I7" s="3" t="s">
        <v>33</v>
      </c>
      <c r="J7" s="3" t="s">
        <v>28</v>
      </c>
      <c r="K7" s="3">
        <v>87.72</v>
      </c>
      <c r="L7" s="3" t="s">
        <v>3</v>
      </c>
      <c r="N7" s="4">
        <v>97.2</v>
      </c>
      <c r="O7" s="4" t="s">
        <v>94</v>
      </c>
      <c r="P7" s="4" t="s">
        <v>3</v>
      </c>
      <c r="Q7" s="4" t="s">
        <v>28</v>
      </c>
      <c r="R7" s="4">
        <v>7.6619999999999999</v>
      </c>
      <c r="T7">
        <v>93</v>
      </c>
      <c r="U7" t="s">
        <v>3</v>
      </c>
      <c r="V7" t="s">
        <v>28</v>
      </c>
      <c r="W7" t="s">
        <v>103</v>
      </c>
      <c r="Y7" s="7">
        <v>96.4</v>
      </c>
      <c r="Z7" s="7" t="s">
        <v>3</v>
      </c>
      <c r="AA7" s="7" t="s">
        <v>28</v>
      </c>
      <c r="AB7" s="7" t="s">
        <v>194</v>
      </c>
      <c r="AD7" s="11">
        <v>94.2</v>
      </c>
      <c r="AE7" s="3" t="s">
        <v>3</v>
      </c>
      <c r="AF7" s="3" t="s">
        <v>28</v>
      </c>
      <c r="AG7" s="11" t="s">
        <v>235</v>
      </c>
      <c r="AI7" s="16" t="s">
        <v>91</v>
      </c>
      <c r="AJ7" s="16" t="s">
        <v>312</v>
      </c>
      <c r="AL7">
        <v>90</v>
      </c>
      <c r="AM7">
        <v>92</v>
      </c>
      <c r="AN7">
        <v>74</v>
      </c>
      <c r="AO7">
        <v>79</v>
      </c>
      <c r="AP7">
        <v>84.25</v>
      </c>
    </row>
    <row r="8" spans="1:42" ht="27">
      <c r="A8" s="1" t="s">
        <v>6</v>
      </c>
      <c r="B8" s="1">
        <v>91.2</v>
      </c>
      <c r="C8" s="1">
        <v>92.2</v>
      </c>
      <c r="D8" s="1">
        <v>70.7</v>
      </c>
      <c r="E8" s="1">
        <v>56.57</v>
      </c>
      <c r="F8" s="1" t="s">
        <v>1</v>
      </c>
      <c r="H8" s="3">
        <v>94</v>
      </c>
      <c r="I8" s="3" t="s">
        <v>34</v>
      </c>
      <c r="J8" s="3" t="s">
        <v>35</v>
      </c>
      <c r="K8" s="3">
        <v>81.150000000000006</v>
      </c>
      <c r="L8" s="3" t="s">
        <v>3</v>
      </c>
      <c r="N8" s="4">
        <v>93.2</v>
      </c>
      <c r="O8" s="4" t="s">
        <v>95</v>
      </c>
      <c r="P8" s="4" t="s">
        <v>96</v>
      </c>
      <c r="Q8" s="4" t="s">
        <v>28</v>
      </c>
      <c r="R8" s="4">
        <v>7.351</v>
      </c>
      <c r="T8">
        <v>97.2</v>
      </c>
      <c r="U8" t="s">
        <v>3</v>
      </c>
      <c r="V8" t="s">
        <v>28</v>
      </c>
      <c r="W8">
        <v>7.6619999999999999</v>
      </c>
      <c r="Y8" s="8">
        <v>0.94199999999999995</v>
      </c>
      <c r="Z8" s="7" t="s">
        <v>3</v>
      </c>
      <c r="AA8" s="7" t="s">
        <v>28</v>
      </c>
      <c r="AB8" s="7" t="s">
        <v>195</v>
      </c>
      <c r="AD8" s="11">
        <v>96.6</v>
      </c>
      <c r="AE8" s="3" t="s">
        <v>3</v>
      </c>
      <c r="AF8" s="3" t="s">
        <v>28</v>
      </c>
      <c r="AG8" s="11">
        <v>8.43</v>
      </c>
      <c r="AI8" s="16" t="s">
        <v>307</v>
      </c>
      <c r="AJ8" s="16" t="s">
        <v>309</v>
      </c>
      <c r="AL8">
        <v>96.75</v>
      </c>
      <c r="AM8">
        <v>97.5</v>
      </c>
      <c r="AN8">
        <v>96.5</v>
      </c>
      <c r="AO8">
        <v>97</v>
      </c>
      <c r="AP8">
        <v>97.25</v>
      </c>
    </row>
    <row r="9" spans="1:42" ht="53.4">
      <c r="A9" s="1" t="s">
        <v>7</v>
      </c>
      <c r="B9" s="1">
        <v>94.2</v>
      </c>
      <c r="C9" s="1">
        <v>92.4</v>
      </c>
      <c r="D9" s="1">
        <v>80.099999999999994</v>
      </c>
      <c r="E9" s="1">
        <v>72.709999999999994</v>
      </c>
      <c r="F9" s="1" t="s">
        <v>5</v>
      </c>
      <c r="H9" s="3">
        <v>86.6</v>
      </c>
      <c r="I9" s="3" t="s">
        <v>36</v>
      </c>
      <c r="J9" s="3" t="s">
        <v>28</v>
      </c>
      <c r="K9" s="3">
        <v>74.239999999999995</v>
      </c>
      <c r="L9" s="3" t="s">
        <v>3</v>
      </c>
      <c r="N9" s="4">
        <v>97</v>
      </c>
      <c r="O9" s="4" t="s">
        <v>97</v>
      </c>
      <c r="P9" s="4" t="s">
        <v>3</v>
      </c>
      <c r="Q9" s="4" t="s">
        <v>28</v>
      </c>
      <c r="R9" s="4" t="s">
        <v>98</v>
      </c>
      <c r="T9">
        <v>94.2</v>
      </c>
      <c r="U9" t="s">
        <v>3</v>
      </c>
      <c r="V9" t="s">
        <v>28</v>
      </c>
      <c r="W9" t="s">
        <v>160</v>
      </c>
      <c r="Y9" s="7">
        <v>93.2</v>
      </c>
      <c r="Z9" s="7" t="s">
        <v>3</v>
      </c>
      <c r="AA9" s="7" t="s">
        <v>28</v>
      </c>
      <c r="AB9" s="7" t="s">
        <v>196</v>
      </c>
      <c r="AD9" s="11">
        <v>93.6</v>
      </c>
      <c r="AE9" s="3" t="s">
        <v>3</v>
      </c>
      <c r="AF9" s="3" t="s">
        <v>28</v>
      </c>
      <c r="AG9" s="11" t="s">
        <v>236</v>
      </c>
      <c r="AI9" s="16" t="s">
        <v>307</v>
      </c>
      <c r="AJ9" s="16" t="s">
        <v>310</v>
      </c>
      <c r="AL9">
        <v>95</v>
      </c>
      <c r="AM9">
        <v>95</v>
      </c>
      <c r="AN9">
        <v>92.25</v>
      </c>
      <c r="AO9">
        <v>93.25</v>
      </c>
      <c r="AP9">
        <v>93.75</v>
      </c>
    </row>
    <row r="10" spans="1:42" ht="40.200000000000003">
      <c r="A10" s="1" t="s">
        <v>8</v>
      </c>
      <c r="B10" s="1">
        <v>91.4</v>
      </c>
      <c r="C10" s="1">
        <v>90.2</v>
      </c>
      <c r="D10" s="1">
        <v>80.540000000000006</v>
      </c>
      <c r="E10" s="1">
        <v>52.85</v>
      </c>
      <c r="F10" s="1" t="s">
        <v>9</v>
      </c>
      <c r="H10" s="3">
        <v>94</v>
      </c>
      <c r="I10" s="3" t="s">
        <v>37</v>
      </c>
      <c r="J10" s="3" t="s">
        <v>28</v>
      </c>
      <c r="K10" s="3">
        <v>79.52</v>
      </c>
      <c r="L10" s="3" t="s">
        <v>3</v>
      </c>
      <c r="N10" s="4">
        <v>89</v>
      </c>
      <c r="O10" s="4" t="s">
        <v>99</v>
      </c>
      <c r="P10" s="4" t="s">
        <v>3</v>
      </c>
      <c r="Q10" s="4" t="s">
        <v>28</v>
      </c>
      <c r="R10" s="4" t="s">
        <v>100</v>
      </c>
      <c r="T10">
        <v>96.6</v>
      </c>
      <c r="U10" t="s">
        <v>3</v>
      </c>
      <c r="V10" t="s">
        <v>28</v>
      </c>
      <c r="W10" t="s">
        <v>93</v>
      </c>
      <c r="Y10" s="7">
        <v>90.8</v>
      </c>
      <c r="Z10" s="7" t="s">
        <v>3</v>
      </c>
      <c r="AA10" s="7" t="s">
        <v>28</v>
      </c>
      <c r="AB10" s="7" t="s">
        <v>197</v>
      </c>
      <c r="AD10" s="11">
        <v>95.2</v>
      </c>
      <c r="AE10" s="3" t="s">
        <v>3</v>
      </c>
      <c r="AF10" s="3" t="s">
        <v>28</v>
      </c>
      <c r="AG10" s="11">
        <v>8.51</v>
      </c>
      <c r="AI10" s="16" t="s">
        <v>307</v>
      </c>
      <c r="AJ10" s="16" t="s">
        <v>311</v>
      </c>
      <c r="AL10">
        <v>93</v>
      </c>
      <c r="AM10">
        <v>93</v>
      </c>
      <c r="AN10">
        <v>86</v>
      </c>
      <c r="AO10">
        <v>84</v>
      </c>
      <c r="AP10">
        <v>90.75</v>
      </c>
    </row>
    <row r="11" spans="1:42" ht="40.200000000000003">
      <c r="A11" s="1" t="s">
        <v>8</v>
      </c>
      <c r="B11" s="1">
        <v>90.33</v>
      </c>
      <c r="C11" s="1">
        <v>93.66</v>
      </c>
      <c r="D11" s="1">
        <v>69.400000000000006</v>
      </c>
      <c r="E11" s="1">
        <v>46.42</v>
      </c>
      <c r="F11" s="1" t="s">
        <v>5</v>
      </c>
      <c r="H11" s="3">
        <v>90.5</v>
      </c>
      <c r="I11" s="3" t="s">
        <v>38</v>
      </c>
      <c r="J11" s="3" t="s">
        <v>28</v>
      </c>
      <c r="K11" s="3">
        <v>69.599999999999994</v>
      </c>
      <c r="L11" s="3" t="s">
        <v>3</v>
      </c>
      <c r="N11" s="4">
        <v>94.2</v>
      </c>
      <c r="O11" s="4" t="s">
        <v>101</v>
      </c>
      <c r="P11" s="4" t="s">
        <v>3</v>
      </c>
      <c r="Q11" s="4" t="s">
        <v>28</v>
      </c>
      <c r="R11" s="4">
        <v>7.52</v>
      </c>
      <c r="T11">
        <v>89</v>
      </c>
      <c r="U11" t="s">
        <v>161</v>
      </c>
      <c r="V11" t="s">
        <v>28</v>
      </c>
      <c r="W11" t="s">
        <v>162</v>
      </c>
      <c r="Y11" s="7">
        <v>97</v>
      </c>
      <c r="Z11" s="7" t="s">
        <v>3</v>
      </c>
      <c r="AA11" s="7" t="s">
        <v>28</v>
      </c>
      <c r="AB11" s="7" t="s">
        <v>198</v>
      </c>
      <c r="AD11" s="11">
        <v>94.75</v>
      </c>
      <c r="AE11" s="3" t="s">
        <v>3</v>
      </c>
      <c r="AF11" s="3" t="s">
        <v>28</v>
      </c>
      <c r="AG11" s="11">
        <v>7.87</v>
      </c>
      <c r="AI11" s="16" t="s">
        <v>307</v>
      </c>
      <c r="AJ11" s="16" t="s">
        <v>312</v>
      </c>
      <c r="AL11">
        <v>91.25</v>
      </c>
      <c r="AM11">
        <v>91.5</v>
      </c>
      <c r="AN11">
        <v>79</v>
      </c>
      <c r="AO11">
        <v>83</v>
      </c>
      <c r="AP11">
        <v>90</v>
      </c>
    </row>
    <row r="12" spans="1:42" ht="40.200000000000003">
      <c r="A12" s="1" t="s">
        <v>8</v>
      </c>
      <c r="B12" s="1">
        <v>93.4</v>
      </c>
      <c r="C12" s="1">
        <v>93.2</v>
      </c>
      <c r="D12" s="1">
        <v>82.3</v>
      </c>
      <c r="E12" s="1">
        <v>76.569999999999993</v>
      </c>
      <c r="F12" s="1" t="s">
        <v>5</v>
      </c>
      <c r="H12" s="3">
        <v>94.6</v>
      </c>
      <c r="I12" s="3" t="s">
        <v>39</v>
      </c>
      <c r="J12" s="3" t="s">
        <v>28</v>
      </c>
      <c r="K12" s="3">
        <v>80.56</v>
      </c>
      <c r="L12" s="3" t="s">
        <v>40</v>
      </c>
      <c r="N12" s="4">
        <v>93</v>
      </c>
      <c r="O12" s="4" t="s">
        <v>102</v>
      </c>
      <c r="P12" s="4" t="s">
        <v>7</v>
      </c>
      <c r="Q12" s="4" t="s">
        <v>28</v>
      </c>
      <c r="R12" s="4" t="s">
        <v>103</v>
      </c>
      <c r="T12">
        <v>97</v>
      </c>
      <c r="U12" t="s">
        <v>3</v>
      </c>
      <c r="V12" t="s">
        <v>28</v>
      </c>
      <c r="W12">
        <v>8.39</v>
      </c>
      <c r="Y12" s="8">
        <v>0.95599999999999996</v>
      </c>
      <c r="Z12" s="7" t="s">
        <v>3</v>
      </c>
      <c r="AA12" s="7" t="s">
        <v>28</v>
      </c>
      <c r="AB12" s="7" t="s">
        <v>113</v>
      </c>
      <c r="AD12" s="11">
        <v>96.8</v>
      </c>
      <c r="AE12" s="3" t="s">
        <v>3</v>
      </c>
      <c r="AF12" s="3" t="s">
        <v>28</v>
      </c>
      <c r="AG12" s="11" t="s">
        <v>237</v>
      </c>
      <c r="AI12" s="16" t="s">
        <v>308</v>
      </c>
      <c r="AJ12" s="16" t="s">
        <v>309</v>
      </c>
      <c r="AL12">
        <v>98.25</v>
      </c>
      <c r="AM12">
        <v>97.75</v>
      </c>
      <c r="AN12">
        <v>97.25</v>
      </c>
      <c r="AO12">
        <v>97.75</v>
      </c>
      <c r="AP12">
        <v>98.25</v>
      </c>
    </row>
    <row r="13" spans="1:42" ht="53.4">
      <c r="A13" s="1" t="s">
        <v>10</v>
      </c>
      <c r="B13" s="1">
        <v>94</v>
      </c>
      <c r="C13" s="1">
        <v>88.2</v>
      </c>
      <c r="D13" s="1">
        <v>69.09</v>
      </c>
      <c r="E13" s="1">
        <v>48.43</v>
      </c>
      <c r="F13" s="1" t="s">
        <v>11</v>
      </c>
      <c r="H13" s="3">
        <v>95</v>
      </c>
      <c r="I13" s="3" t="s">
        <v>41</v>
      </c>
      <c r="J13" s="3" t="s">
        <v>28</v>
      </c>
      <c r="K13" s="3">
        <v>72.680000000000007</v>
      </c>
      <c r="L13" s="3" t="s">
        <v>42</v>
      </c>
      <c r="N13" s="4">
        <v>94.4</v>
      </c>
      <c r="O13" s="4" t="s">
        <v>104</v>
      </c>
      <c r="P13" s="4" t="s">
        <v>7</v>
      </c>
      <c r="Q13" s="4" t="s">
        <v>28</v>
      </c>
      <c r="R13" s="4" t="s">
        <v>105</v>
      </c>
      <c r="T13">
        <v>94.4</v>
      </c>
      <c r="U13" t="s">
        <v>3</v>
      </c>
      <c r="V13" t="s">
        <v>28</v>
      </c>
      <c r="W13">
        <v>80.36</v>
      </c>
      <c r="Y13" s="7">
        <v>96.8</v>
      </c>
      <c r="Z13" s="7" t="s">
        <v>3</v>
      </c>
      <c r="AA13" s="7" t="s">
        <v>28</v>
      </c>
      <c r="AB13" s="7" t="s">
        <v>199</v>
      </c>
      <c r="AD13" s="11">
        <v>96.4</v>
      </c>
      <c r="AE13" s="3" t="s">
        <v>3</v>
      </c>
      <c r="AF13" s="3" t="s">
        <v>28</v>
      </c>
      <c r="AG13" s="11" t="s">
        <v>238</v>
      </c>
      <c r="AI13" s="16" t="s">
        <v>308</v>
      </c>
      <c r="AJ13" s="16" t="s">
        <v>310</v>
      </c>
      <c r="AL13">
        <v>96.5</v>
      </c>
      <c r="AM13">
        <v>95.62</v>
      </c>
      <c r="AN13">
        <v>94.25</v>
      </c>
      <c r="AO13">
        <v>95.5</v>
      </c>
      <c r="AP13">
        <v>96</v>
      </c>
    </row>
    <row r="14" spans="1:42" ht="53.4">
      <c r="A14" s="1" t="s">
        <v>10</v>
      </c>
      <c r="B14" s="1">
        <v>94</v>
      </c>
      <c r="C14" s="1">
        <v>93</v>
      </c>
      <c r="D14" s="1">
        <v>78.599999999999994</v>
      </c>
      <c r="E14" s="1">
        <v>77.14</v>
      </c>
      <c r="F14" s="1" t="s">
        <v>5</v>
      </c>
      <c r="H14" s="3">
        <v>96</v>
      </c>
      <c r="I14" s="3" t="s">
        <v>43</v>
      </c>
      <c r="J14" s="3" t="s">
        <v>28</v>
      </c>
      <c r="K14" s="3">
        <v>86.88</v>
      </c>
      <c r="L14" s="3" t="s">
        <v>7</v>
      </c>
      <c r="N14" s="5">
        <v>0.96599999999999997</v>
      </c>
      <c r="O14" s="4" t="s">
        <v>106</v>
      </c>
      <c r="P14" s="4" t="s">
        <v>8</v>
      </c>
      <c r="Q14" s="4" t="s">
        <v>28</v>
      </c>
      <c r="R14" s="4" t="s">
        <v>107</v>
      </c>
      <c r="T14">
        <v>80.83</v>
      </c>
      <c r="U14" t="s">
        <v>163</v>
      </c>
      <c r="V14" t="s">
        <v>28</v>
      </c>
      <c r="W14" t="s">
        <v>164</v>
      </c>
      <c r="Y14" s="7">
        <v>97</v>
      </c>
      <c r="Z14" s="7" t="s">
        <v>6</v>
      </c>
      <c r="AA14" s="7" t="s">
        <v>28</v>
      </c>
      <c r="AB14" s="7" t="s">
        <v>200</v>
      </c>
      <c r="AD14" s="12">
        <v>0.84399999999999997</v>
      </c>
      <c r="AE14" s="3" t="s">
        <v>3</v>
      </c>
      <c r="AF14" s="3" t="s">
        <v>28</v>
      </c>
      <c r="AG14" s="11" t="s">
        <v>239</v>
      </c>
      <c r="AI14" s="16" t="s">
        <v>308</v>
      </c>
      <c r="AJ14" s="16" t="s">
        <v>311</v>
      </c>
      <c r="AL14">
        <v>95.25</v>
      </c>
      <c r="AM14">
        <v>94.32</v>
      </c>
      <c r="AN14">
        <v>93.25</v>
      </c>
      <c r="AO14">
        <v>90.25</v>
      </c>
      <c r="AP14">
        <v>93.75</v>
      </c>
    </row>
    <row r="15" spans="1:42" ht="66.599999999999994">
      <c r="A15" s="1" t="s">
        <v>12</v>
      </c>
      <c r="B15" s="1">
        <v>83</v>
      </c>
      <c r="C15" s="1">
        <v>89</v>
      </c>
      <c r="D15" s="1">
        <v>61.7</v>
      </c>
      <c r="E15" s="1">
        <v>47.14</v>
      </c>
      <c r="F15" s="1" t="s">
        <v>1</v>
      </c>
      <c r="H15" s="3">
        <v>96.2</v>
      </c>
      <c r="I15" s="3" t="s">
        <v>44</v>
      </c>
      <c r="J15" s="3" t="s">
        <v>28</v>
      </c>
      <c r="K15" s="3">
        <v>84.11</v>
      </c>
      <c r="L15" s="3" t="s">
        <v>45</v>
      </c>
      <c r="N15" s="4" t="s">
        <v>108</v>
      </c>
      <c r="O15" s="4" t="s">
        <v>109</v>
      </c>
      <c r="P15" s="4" t="s">
        <v>8</v>
      </c>
      <c r="Q15" s="4" t="s">
        <v>28</v>
      </c>
      <c r="R15" s="4" t="s">
        <v>110</v>
      </c>
      <c r="T15">
        <v>81.2</v>
      </c>
      <c r="U15" t="s">
        <v>163</v>
      </c>
      <c r="V15" t="s">
        <v>28</v>
      </c>
      <c r="W15">
        <v>51.48</v>
      </c>
      <c r="Y15" s="7">
        <v>89.8</v>
      </c>
      <c r="Z15" s="7" t="s">
        <v>6</v>
      </c>
      <c r="AA15" s="7" t="s">
        <v>28</v>
      </c>
      <c r="AB15" s="7">
        <v>7.34</v>
      </c>
      <c r="AD15" s="11">
        <v>96.4</v>
      </c>
      <c r="AE15" s="3" t="s">
        <v>6</v>
      </c>
      <c r="AF15" s="3" t="s">
        <v>28</v>
      </c>
      <c r="AG15" s="11" t="s">
        <v>88</v>
      </c>
      <c r="AI15" s="16" t="s">
        <v>308</v>
      </c>
      <c r="AJ15" s="16" t="s">
        <v>312</v>
      </c>
      <c r="AL15">
        <v>90.5</v>
      </c>
      <c r="AM15">
        <v>92.25</v>
      </c>
      <c r="AN15">
        <v>75</v>
      </c>
      <c r="AO15">
        <v>91</v>
      </c>
      <c r="AP15">
        <v>89.25</v>
      </c>
    </row>
    <row r="16" spans="1:42" ht="66.599999999999994">
      <c r="A16" s="1" t="s">
        <v>13</v>
      </c>
      <c r="B16" s="1">
        <v>92.67</v>
      </c>
      <c r="C16" s="1">
        <v>94.2</v>
      </c>
      <c r="D16" s="1">
        <v>67.099999999999994</v>
      </c>
      <c r="E16" s="1">
        <v>58.71</v>
      </c>
      <c r="F16" s="1" t="s">
        <v>5</v>
      </c>
      <c r="H16" s="3">
        <v>94.4</v>
      </c>
      <c r="I16" s="3" t="s">
        <v>46</v>
      </c>
      <c r="J16" s="3" t="s">
        <v>28</v>
      </c>
      <c r="K16" s="3">
        <v>81.239999999999995</v>
      </c>
      <c r="L16" s="3" t="s">
        <v>47</v>
      </c>
      <c r="N16" s="4">
        <v>96.2</v>
      </c>
      <c r="O16" s="4" t="s">
        <v>67</v>
      </c>
      <c r="P16" s="4" t="s">
        <v>8</v>
      </c>
      <c r="Q16" s="4" t="s">
        <v>28</v>
      </c>
      <c r="R16" s="4" t="s">
        <v>111</v>
      </c>
      <c r="T16">
        <v>91.75</v>
      </c>
      <c r="U16" t="s">
        <v>165</v>
      </c>
      <c r="V16" t="s">
        <v>28</v>
      </c>
      <c r="W16" t="s">
        <v>166</v>
      </c>
      <c r="Y16" s="7">
        <v>87</v>
      </c>
      <c r="Z16" s="7" t="s">
        <v>6</v>
      </c>
      <c r="AA16" s="7" t="s">
        <v>28</v>
      </c>
      <c r="AB16" s="7" t="s">
        <v>201</v>
      </c>
      <c r="AD16" s="11">
        <v>95.2</v>
      </c>
      <c r="AE16" s="3" t="s">
        <v>7</v>
      </c>
      <c r="AF16" s="3" t="s">
        <v>28</v>
      </c>
      <c r="AG16" s="11" t="s">
        <v>240</v>
      </c>
    </row>
    <row r="17" spans="1:33" ht="79.8">
      <c r="A17" s="1" t="s">
        <v>14</v>
      </c>
      <c r="B17" s="1">
        <v>74.8</v>
      </c>
      <c r="C17" s="1">
        <v>93</v>
      </c>
      <c r="D17" s="1">
        <v>75.05</v>
      </c>
      <c r="E17" s="1">
        <v>50.14</v>
      </c>
      <c r="F17" s="1" t="s">
        <v>15</v>
      </c>
      <c r="H17" s="3">
        <v>96.4</v>
      </c>
      <c r="I17" s="3" t="s">
        <v>48</v>
      </c>
      <c r="J17" s="3" t="s">
        <v>28</v>
      </c>
      <c r="K17" s="3">
        <v>83.38</v>
      </c>
      <c r="L17" s="3" t="s">
        <v>8</v>
      </c>
      <c r="N17" s="4">
        <v>92.6</v>
      </c>
      <c r="O17" s="4" t="s">
        <v>112</v>
      </c>
      <c r="P17" s="4" t="s">
        <v>8</v>
      </c>
      <c r="Q17" s="4" t="s">
        <v>28</v>
      </c>
      <c r="R17" s="4" t="s">
        <v>113</v>
      </c>
      <c r="T17">
        <v>90</v>
      </c>
      <c r="U17" t="s">
        <v>8</v>
      </c>
      <c r="V17" t="s">
        <v>28</v>
      </c>
      <c r="W17" t="s">
        <v>167</v>
      </c>
      <c r="Y17" s="7">
        <v>93</v>
      </c>
      <c r="Z17" s="7" t="s">
        <v>6</v>
      </c>
      <c r="AA17" s="7" t="s">
        <v>28</v>
      </c>
      <c r="AB17" s="7" t="s">
        <v>202</v>
      </c>
      <c r="AD17" s="11">
        <v>96.4</v>
      </c>
      <c r="AE17" s="3" t="s">
        <v>7</v>
      </c>
      <c r="AF17" s="3" t="s">
        <v>28</v>
      </c>
      <c r="AG17" s="11" t="s">
        <v>241</v>
      </c>
    </row>
    <row r="18" spans="1:33" ht="66.599999999999994">
      <c r="A18" s="1" t="s">
        <v>13</v>
      </c>
      <c r="B18" s="1">
        <v>93.8</v>
      </c>
      <c r="C18" s="1">
        <v>94</v>
      </c>
      <c r="D18" s="1">
        <v>78.599999999999994</v>
      </c>
      <c r="E18" s="1">
        <v>79</v>
      </c>
      <c r="F18" s="1" t="s">
        <v>5</v>
      </c>
      <c r="H18" s="3">
        <v>95.75</v>
      </c>
      <c r="I18" s="3" t="s">
        <v>49</v>
      </c>
      <c r="J18" s="3" t="s">
        <v>50</v>
      </c>
      <c r="K18" s="3">
        <v>77.16</v>
      </c>
      <c r="L18" s="3" t="s">
        <v>8</v>
      </c>
      <c r="N18" s="4">
        <v>92</v>
      </c>
      <c r="O18" s="4" t="s">
        <v>114</v>
      </c>
      <c r="P18" s="4" t="s">
        <v>8</v>
      </c>
      <c r="Q18" s="4" t="s">
        <v>28</v>
      </c>
      <c r="R18" s="4" t="s">
        <v>115</v>
      </c>
      <c r="T18">
        <v>96.2</v>
      </c>
      <c r="U18" t="s">
        <v>8</v>
      </c>
      <c r="V18" t="s">
        <v>28</v>
      </c>
      <c r="W18" t="s">
        <v>111</v>
      </c>
      <c r="Y18" s="7">
        <v>94.4</v>
      </c>
      <c r="Z18" s="7" t="s">
        <v>6</v>
      </c>
      <c r="AA18" s="7" t="s">
        <v>28</v>
      </c>
      <c r="AB18" s="7">
        <v>8.8339999999999996</v>
      </c>
      <c r="AD18" s="11">
        <v>96.5</v>
      </c>
      <c r="AE18" s="3" t="s">
        <v>7</v>
      </c>
      <c r="AF18" s="3" t="s">
        <v>28</v>
      </c>
      <c r="AG18" s="11">
        <v>7.84</v>
      </c>
    </row>
    <row r="19" spans="1:33" ht="66.599999999999994">
      <c r="A19" s="1" t="s">
        <v>13</v>
      </c>
      <c r="B19" s="1">
        <v>91.6</v>
      </c>
      <c r="C19" s="1">
        <v>95.2</v>
      </c>
      <c r="D19" s="1">
        <v>67.900000000000006</v>
      </c>
      <c r="E19" s="1">
        <v>53.85</v>
      </c>
      <c r="F19" s="1" t="s">
        <v>16</v>
      </c>
      <c r="H19" s="3">
        <v>90.4</v>
      </c>
      <c r="I19" s="3" t="s">
        <v>51</v>
      </c>
      <c r="J19" s="3" t="s">
        <v>28</v>
      </c>
      <c r="K19" s="3">
        <v>71.28</v>
      </c>
      <c r="L19" s="3" t="s">
        <v>52</v>
      </c>
      <c r="N19" s="4">
        <v>96.6</v>
      </c>
      <c r="O19" s="4" t="s">
        <v>116</v>
      </c>
      <c r="P19" s="4" t="s">
        <v>8</v>
      </c>
      <c r="Q19" s="4" t="s">
        <v>28</v>
      </c>
      <c r="R19" s="4">
        <v>83.68</v>
      </c>
      <c r="T19">
        <v>96.2</v>
      </c>
      <c r="U19" t="s">
        <v>8</v>
      </c>
      <c r="V19" t="s">
        <v>28</v>
      </c>
      <c r="W19">
        <v>8.9459999999999997</v>
      </c>
      <c r="Y19" s="7">
        <v>84.8</v>
      </c>
      <c r="Z19" s="7" t="s">
        <v>203</v>
      </c>
      <c r="AA19" s="7" t="s">
        <v>28</v>
      </c>
      <c r="AB19" s="7" t="s">
        <v>204</v>
      </c>
      <c r="AD19" s="11">
        <v>96.2</v>
      </c>
      <c r="AE19" s="3" t="s">
        <v>7</v>
      </c>
      <c r="AF19" s="3" t="s">
        <v>28</v>
      </c>
      <c r="AG19" s="11" t="s">
        <v>242</v>
      </c>
    </row>
    <row r="20" spans="1:33" ht="66.599999999999994">
      <c r="A20" s="1" t="s">
        <v>13</v>
      </c>
      <c r="B20" s="1">
        <v>94.4</v>
      </c>
      <c r="C20" s="1">
        <v>89.4</v>
      </c>
      <c r="D20" s="1">
        <v>73</v>
      </c>
      <c r="E20" s="1">
        <v>58.86</v>
      </c>
      <c r="F20" s="1" t="s">
        <v>17</v>
      </c>
      <c r="H20" s="3">
        <v>94.8</v>
      </c>
      <c r="I20" s="3" t="s">
        <v>53</v>
      </c>
      <c r="J20" s="3" t="s">
        <v>28</v>
      </c>
      <c r="K20" s="3">
        <v>74.16</v>
      </c>
      <c r="L20" s="3" t="s">
        <v>8</v>
      </c>
      <c r="N20" s="5">
        <v>0.9425</v>
      </c>
      <c r="O20" s="4" t="s">
        <v>117</v>
      </c>
      <c r="P20" s="4" t="s">
        <v>118</v>
      </c>
      <c r="Q20" s="4" t="s">
        <v>28</v>
      </c>
      <c r="R20" s="4" t="s">
        <v>119</v>
      </c>
      <c r="T20">
        <v>96.6</v>
      </c>
      <c r="U20" t="s">
        <v>8</v>
      </c>
      <c r="V20" t="s">
        <v>28</v>
      </c>
      <c r="W20">
        <v>83.68</v>
      </c>
      <c r="Y20" s="7">
        <v>87.75</v>
      </c>
      <c r="Z20" s="7" t="s">
        <v>7</v>
      </c>
      <c r="AA20" s="7" t="s">
        <v>28</v>
      </c>
      <c r="AB20" s="7">
        <v>7.97</v>
      </c>
      <c r="AD20" s="11">
        <v>92.6</v>
      </c>
      <c r="AE20" s="3" t="s">
        <v>243</v>
      </c>
      <c r="AF20" s="3" t="s">
        <v>28</v>
      </c>
      <c r="AG20" s="11" t="s">
        <v>244</v>
      </c>
    </row>
    <row r="21" spans="1:33" ht="66.599999999999994">
      <c r="A21" s="1" t="s">
        <v>13</v>
      </c>
      <c r="B21" s="1">
        <v>91</v>
      </c>
      <c r="C21" s="1">
        <v>89</v>
      </c>
      <c r="D21" s="1">
        <v>67.400000000000006</v>
      </c>
      <c r="E21" s="1">
        <v>58.57</v>
      </c>
      <c r="F21" s="1" t="s">
        <v>2</v>
      </c>
      <c r="H21" s="3">
        <v>93.6</v>
      </c>
      <c r="I21" s="3" t="s">
        <v>54</v>
      </c>
      <c r="J21" s="3" t="s">
        <v>28</v>
      </c>
      <c r="K21" s="3">
        <v>77.36</v>
      </c>
      <c r="L21" s="3" t="s">
        <v>10</v>
      </c>
      <c r="N21" s="4">
        <v>95</v>
      </c>
      <c r="O21" s="4" t="s">
        <v>120</v>
      </c>
      <c r="P21" s="4" t="s">
        <v>118</v>
      </c>
      <c r="Q21" s="4" t="s">
        <v>28</v>
      </c>
      <c r="R21" s="4" t="s">
        <v>121</v>
      </c>
      <c r="T21">
        <v>92.6</v>
      </c>
      <c r="U21" t="s">
        <v>8</v>
      </c>
      <c r="V21" t="s">
        <v>28</v>
      </c>
      <c r="W21" t="s">
        <v>168</v>
      </c>
      <c r="Y21" s="7">
        <v>92</v>
      </c>
      <c r="Z21" s="7" t="s">
        <v>7</v>
      </c>
      <c r="AA21" s="7" t="s">
        <v>28</v>
      </c>
      <c r="AB21" s="7" t="s">
        <v>205</v>
      </c>
      <c r="AD21" s="12">
        <v>0.60799999999999998</v>
      </c>
      <c r="AE21" s="3" t="s">
        <v>245</v>
      </c>
      <c r="AF21" s="3" t="s">
        <v>246</v>
      </c>
      <c r="AG21" s="13">
        <v>0.57999999999999996</v>
      </c>
    </row>
    <row r="22" spans="1:33" ht="53.4">
      <c r="A22" s="1" t="s">
        <v>18</v>
      </c>
      <c r="B22" s="1">
        <v>94.3</v>
      </c>
      <c r="C22" s="1">
        <v>95.8</v>
      </c>
      <c r="D22" s="1">
        <v>82.2</v>
      </c>
      <c r="E22" s="1">
        <v>63.43</v>
      </c>
      <c r="F22" s="1" t="s">
        <v>5</v>
      </c>
      <c r="H22" s="3">
        <v>97.5</v>
      </c>
      <c r="I22" s="3" t="s">
        <v>55</v>
      </c>
      <c r="J22" s="3" t="s">
        <v>28</v>
      </c>
      <c r="K22" s="3">
        <v>85.46</v>
      </c>
      <c r="L22" s="3" t="s">
        <v>56</v>
      </c>
      <c r="N22" s="4">
        <v>89.4</v>
      </c>
      <c r="O22" s="4" t="s">
        <v>122</v>
      </c>
      <c r="P22" s="4" t="s">
        <v>123</v>
      </c>
      <c r="Q22" s="4" t="s">
        <v>124</v>
      </c>
      <c r="R22" s="4">
        <v>72.67</v>
      </c>
      <c r="T22">
        <v>96.6</v>
      </c>
      <c r="U22" t="s">
        <v>8</v>
      </c>
      <c r="V22" t="s">
        <v>28</v>
      </c>
      <c r="W22" t="s">
        <v>169</v>
      </c>
      <c r="Y22" s="7">
        <v>81.400000000000006</v>
      </c>
      <c r="Z22" s="7" t="s">
        <v>206</v>
      </c>
      <c r="AA22" s="7" t="s">
        <v>207</v>
      </c>
      <c r="AB22" s="7">
        <v>70.239999999999995</v>
      </c>
      <c r="AD22" s="11">
        <v>97.4</v>
      </c>
      <c r="AE22" s="3" t="s">
        <v>8</v>
      </c>
      <c r="AF22" s="3" t="s">
        <v>28</v>
      </c>
      <c r="AG22" s="11" t="s">
        <v>247</v>
      </c>
    </row>
    <row r="23" spans="1:33" ht="66.599999999999994">
      <c r="A23" s="1" t="s">
        <v>19</v>
      </c>
      <c r="B23" s="1">
        <v>92</v>
      </c>
      <c r="C23" s="1">
        <v>85.8</v>
      </c>
      <c r="D23" s="1">
        <v>71.099999999999994</v>
      </c>
      <c r="E23" s="1">
        <v>53.5</v>
      </c>
      <c r="F23" s="1" t="s">
        <v>5</v>
      </c>
      <c r="H23" s="3">
        <v>95.25</v>
      </c>
      <c r="I23" s="3" t="s">
        <v>57</v>
      </c>
      <c r="J23" s="3" t="s">
        <v>28</v>
      </c>
      <c r="K23" s="3">
        <v>72.959999999999994</v>
      </c>
      <c r="L23" s="3" t="s">
        <v>13</v>
      </c>
      <c r="N23" s="4">
        <v>96.2</v>
      </c>
      <c r="O23" s="4" t="s">
        <v>125</v>
      </c>
      <c r="P23" s="4" t="s">
        <v>10</v>
      </c>
      <c r="Q23" s="4" t="s">
        <v>28</v>
      </c>
      <c r="R23" s="4" t="s">
        <v>126</v>
      </c>
      <c r="T23">
        <v>92</v>
      </c>
      <c r="U23" t="s">
        <v>8</v>
      </c>
      <c r="V23" t="s">
        <v>28</v>
      </c>
      <c r="W23" t="s">
        <v>115</v>
      </c>
      <c r="Y23" s="7">
        <v>94.4</v>
      </c>
      <c r="Z23" s="7" t="s">
        <v>172</v>
      </c>
      <c r="AA23" s="7" t="s">
        <v>28</v>
      </c>
      <c r="AB23" s="7">
        <v>8.2430000000000003</v>
      </c>
      <c r="AD23" s="11">
        <v>95.2</v>
      </c>
      <c r="AE23" s="3" t="s">
        <v>8</v>
      </c>
      <c r="AF23" s="3" t="s">
        <v>28</v>
      </c>
      <c r="AG23" s="11" t="s">
        <v>248</v>
      </c>
    </row>
    <row r="24" spans="1:33" ht="93">
      <c r="A24" s="1" t="s">
        <v>20</v>
      </c>
      <c r="B24" s="1">
        <v>92.8</v>
      </c>
      <c r="C24" s="1">
        <v>92.4</v>
      </c>
      <c r="D24" s="1">
        <v>76.900000000000006</v>
      </c>
      <c r="E24" s="1">
        <v>67.430000000000007</v>
      </c>
      <c r="F24" s="1" t="s">
        <v>5</v>
      </c>
      <c r="H24" s="3">
        <v>97</v>
      </c>
      <c r="I24" s="3" t="s">
        <v>58</v>
      </c>
      <c r="J24" s="3" t="s">
        <v>28</v>
      </c>
      <c r="K24" s="3">
        <v>86.48</v>
      </c>
      <c r="L24" s="3" t="s">
        <v>13</v>
      </c>
      <c r="N24" s="4">
        <v>95</v>
      </c>
      <c r="O24" s="4" t="s">
        <v>127</v>
      </c>
      <c r="P24" s="4" t="s">
        <v>128</v>
      </c>
      <c r="Q24" s="4" t="s">
        <v>28</v>
      </c>
      <c r="R24" s="4" t="s">
        <v>129</v>
      </c>
      <c r="T24">
        <v>94.4</v>
      </c>
      <c r="U24" t="s">
        <v>170</v>
      </c>
      <c r="V24" t="s">
        <v>28</v>
      </c>
      <c r="W24" t="s">
        <v>171</v>
      </c>
      <c r="Y24" s="7">
        <v>95.6</v>
      </c>
      <c r="Z24" s="7" t="s">
        <v>172</v>
      </c>
      <c r="AA24" s="7" t="s">
        <v>28</v>
      </c>
      <c r="AB24" s="7" t="s">
        <v>208</v>
      </c>
      <c r="AD24" s="13">
        <v>0.91</v>
      </c>
      <c r="AE24" s="3" t="s">
        <v>173</v>
      </c>
      <c r="AF24" s="3" t="s">
        <v>28</v>
      </c>
      <c r="AG24" s="11" t="s">
        <v>223</v>
      </c>
    </row>
    <row r="25" spans="1:33" ht="93">
      <c r="A25" s="1" t="s">
        <v>20</v>
      </c>
      <c r="B25" s="1">
        <v>91.8</v>
      </c>
      <c r="C25" s="1">
        <v>94.4</v>
      </c>
      <c r="D25" s="1">
        <v>78.8</v>
      </c>
      <c r="E25" s="1">
        <v>71.42</v>
      </c>
      <c r="F25" s="1" t="s">
        <v>16</v>
      </c>
      <c r="H25" s="3">
        <v>96.6</v>
      </c>
      <c r="I25" s="3" t="s">
        <v>59</v>
      </c>
      <c r="J25" s="3" t="s">
        <v>28</v>
      </c>
      <c r="K25" s="3">
        <v>85.68</v>
      </c>
      <c r="L25" s="3" t="s">
        <v>13</v>
      </c>
      <c r="N25" s="4">
        <v>90</v>
      </c>
      <c r="O25" s="4" t="s">
        <v>130</v>
      </c>
      <c r="P25" s="4" t="s">
        <v>10</v>
      </c>
      <c r="Q25" s="4" t="s">
        <v>28</v>
      </c>
      <c r="R25" s="4">
        <v>8.19</v>
      </c>
      <c r="T25" s="6">
        <v>0.88600000000000001</v>
      </c>
      <c r="U25" t="s">
        <v>172</v>
      </c>
      <c r="V25" t="s">
        <v>28</v>
      </c>
      <c r="W25" s="6">
        <v>0.6149</v>
      </c>
      <c r="Y25" s="7">
        <v>97.25</v>
      </c>
      <c r="Z25" s="7" t="s">
        <v>172</v>
      </c>
      <c r="AA25" s="7" t="s">
        <v>28</v>
      </c>
      <c r="AB25" s="7" t="s">
        <v>209</v>
      </c>
      <c r="AD25" s="11">
        <v>93</v>
      </c>
      <c r="AE25" s="3" t="s">
        <v>118</v>
      </c>
      <c r="AF25" s="3" t="s">
        <v>28</v>
      </c>
      <c r="AG25" s="11" t="s">
        <v>105</v>
      </c>
    </row>
    <row r="26" spans="1:33" ht="93">
      <c r="A26" s="1" t="s">
        <v>20</v>
      </c>
      <c r="B26" s="1">
        <v>90.66</v>
      </c>
      <c r="C26" s="1">
        <v>94.4</v>
      </c>
      <c r="D26" s="1">
        <v>78.8</v>
      </c>
      <c r="E26" s="1">
        <v>71.42</v>
      </c>
      <c r="F26" s="1" t="s">
        <v>16</v>
      </c>
      <c r="H26" s="3">
        <v>97</v>
      </c>
      <c r="I26" s="3" t="s">
        <v>60</v>
      </c>
      <c r="J26" s="3" t="s">
        <v>28</v>
      </c>
      <c r="K26" s="3">
        <v>84.53</v>
      </c>
      <c r="L26" s="3" t="s">
        <v>13</v>
      </c>
      <c r="N26" s="4">
        <v>96.2</v>
      </c>
      <c r="O26" s="4" t="s">
        <v>131</v>
      </c>
      <c r="P26" s="4" t="s">
        <v>10</v>
      </c>
      <c r="Q26" s="4" t="s">
        <v>28</v>
      </c>
      <c r="R26" s="4" t="s">
        <v>132</v>
      </c>
      <c r="T26">
        <v>96.25</v>
      </c>
      <c r="U26" t="s">
        <v>173</v>
      </c>
      <c r="V26" t="s">
        <v>28</v>
      </c>
      <c r="W26">
        <v>9.0540000000000003</v>
      </c>
      <c r="Y26" s="7">
        <v>88.6</v>
      </c>
      <c r="Z26" s="7" t="s">
        <v>173</v>
      </c>
      <c r="AA26" s="7" t="s">
        <v>28</v>
      </c>
      <c r="AB26" s="7" t="s">
        <v>210</v>
      </c>
      <c r="AD26" s="11">
        <v>90.2</v>
      </c>
      <c r="AE26" s="3" t="s">
        <v>118</v>
      </c>
      <c r="AF26" s="3" t="s">
        <v>28</v>
      </c>
      <c r="AG26" s="11" t="s">
        <v>249</v>
      </c>
    </row>
    <row r="27" spans="1:33">
      <c r="H27" s="3">
        <v>96</v>
      </c>
      <c r="I27" s="3" t="s">
        <v>61</v>
      </c>
      <c r="J27" s="3" t="s">
        <v>28</v>
      </c>
      <c r="K27" s="3">
        <v>76.92</v>
      </c>
      <c r="L27" s="3" t="s">
        <v>13</v>
      </c>
      <c r="N27" s="4">
        <v>93</v>
      </c>
      <c r="O27" s="4" t="s">
        <v>133</v>
      </c>
      <c r="P27" s="4" t="s">
        <v>134</v>
      </c>
      <c r="Q27" s="4" t="s">
        <v>28</v>
      </c>
      <c r="R27" s="4" t="s">
        <v>135</v>
      </c>
      <c r="T27">
        <v>98.25</v>
      </c>
      <c r="U27" t="s">
        <v>174</v>
      </c>
      <c r="V27" t="s">
        <v>28</v>
      </c>
      <c r="W27" t="s">
        <v>175</v>
      </c>
      <c r="Y27" s="7">
        <v>97.6</v>
      </c>
      <c r="Z27" s="7" t="s">
        <v>211</v>
      </c>
      <c r="AA27" s="7" t="s">
        <v>28</v>
      </c>
      <c r="AB27" s="7">
        <v>8.8650000000000002</v>
      </c>
      <c r="AD27" s="11">
        <v>81.400000000000006</v>
      </c>
      <c r="AE27" s="3" t="s">
        <v>118</v>
      </c>
      <c r="AF27" s="3" t="s">
        <v>28</v>
      </c>
      <c r="AG27" s="11" t="s">
        <v>250</v>
      </c>
    </row>
    <row r="28" spans="1:33">
      <c r="H28" s="3">
        <v>98.4</v>
      </c>
      <c r="I28" s="3" t="s">
        <v>62</v>
      </c>
      <c r="J28" s="3" t="s">
        <v>28</v>
      </c>
      <c r="K28" s="3">
        <v>86.52</v>
      </c>
      <c r="L28" s="3" t="s">
        <v>13</v>
      </c>
      <c r="N28" s="4">
        <v>96.6</v>
      </c>
      <c r="O28" s="4" t="s">
        <v>136</v>
      </c>
      <c r="P28" s="4" t="s">
        <v>13</v>
      </c>
      <c r="Q28" s="4" t="s">
        <v>28</v>
      </c>
      <c r="R28" s="4" t="s">
        <v>137</v>
      </c>
      <c r="T28">
        <v>89.4</v>
      </c>
      <c r="U28" t="s">
        <v>176</v>
      </c>
      <c r="V28" t="s">
        <v>177</v>
      </c>
      <c r="W28">
        <v>72.67</v>
      </c>
      <c r="Y28" s="7">
        <v>97.4</v>
      </c>
      <c r="Z28" s="7" t="s">
        <v>174</v>
      </c>
      <c r="AA28" s="7" t="s">
        <v>28</v>
      </c>
      <c r="AB28" s="7" t="s">
        <v>212</v>
      </c>
      <c r="AD28" s="11">
        <v>93.6</v>
      </c>
      <c r="AE28" s="3" t="s">
        <v>10</v>
      </c>
      <c r="AF28" s="3" t="s">
        <v>28</v>
      </c>
      <c r="AG28" s="11" t="s">
        <v>251</v>
      </c>
    </row>
    <row r="29" spans="1:33">
      <c r="H29" s="3">
        <v>97.4</v>
      </c>
      <c r="I29" s="3" t="s">
        <v>63</v>
      </c>
      <c r="J29" s="3" t="s">
        <v>28</v>
      </c>
      <c r="K29" s="3">
        <v>84.56</v>
      </c>
      <c r="L29" s="3" t="s">
        <v>13</v>
      </c>
      <c r="N29" s="4">
        <v>96.8</v>
      </c>
      <c r="O29" s="4" t="s">
        <v>138</v>
      </c>
      <c r="P29" s="4" t="s">
        <v>13</v>
      </c>
      <c r="Q29" s="4" t="s">
        <v>28</v>
      </c>
      <c r="R29" s="4" t="s">
        <v>121</v>
      </c>
      <c r="T29">
        <v>95</v>
      </c>
      <c r="U29" t="s">
        <v>10</v>
      </c>
      <c r="V29" t="s">
        <v>28</v>
      </c>
      <c r="W29" t="s">
        <v>121</v>
      </c>
      <c r="Y29" s="7">
        <v>91.6</v>
      </c>
      <c r="Z29" s="7" t="s">
        <v>10</v>
      </c>
      <c r="AA29" s="7" t="s">
        <v>28</v>
      </c>
      <c r="AB29" s="7" t="s">
        <v>213</v>
      </c>
      <c r="AD29" s="11">
        <v>97</v>
      </c>
      <c r="AE29" s="3" t="s">
        <v>10</v>
      </c>
      <c r="AF29" s="3" t="s">
        <v>28</v>
      </c>
      <c r="AG29" s="11" t="s">
        <v>252</v>
      </c>
    </row>
    <row r="30" spans="1:33">
      <c r="H30" s="3">
        <v>97.2</v>
      </c>
      <c r="I30" s="3" t="s">
        <v>64</v>
      </c>
      <c r="J30" s="3" t="s">
        <v>28</v>
      </c>
      <c r="K30" s="3">
        <v>81.2</v>
      </c>
      <c r="L30" s="3" t="s">
        <v>13</v>
      </c>
      <c r="N30" s="4">
        <v>94.2</v>
      </c>
      <c r="O30" s="4" t="s">
        <v>139</v>
      </c>
      <c r="P30" s="4" t="s">
        <v>13</v>
      </c>
      <c r="Q30" s="4" t="s">
        <v>28</v>
      </c>
      <c r="R30" s="4">
        <v>8.31</v>
      </c>
      <c r="T30">
        <v>96.2</v>
      </c>
      <c r="U30" t="s">
        <v>10</v>
      </c>
      <c r="V30" t="s">
        <v>28</v>
      </c>
      <c r="W30" t="s">
        <v>126</v>
      </c>
      <c r="Y30" s="7">
        <v>90.4</v>
      </c>
      <c r="Z30" s="7" t="s">
        <v>214</v>
      </c>
      <c r="AA30" s="7" t="s">
        <v>215</v>
      </c>
      <c r="AB30" s="7">
        <v>6.8</v>
      </c>
      <c r="AD30" s="11">
        <v>97</v>
      </c>
      <c r="AE30" s="3" t="s">
        <v>10</v>
      </c>
      <c r="AF30" s="3" t="s">
        <v>28</v>
      </c>
      <c r="AG30" s="11" t="s">
        <v>150</v>
      </c>
    </row>
    <row r="31" spans="1:33">
      <c r="H31" s="3">
        <v>96.8</v>
      </c>
      <c r="I31" s="3" t="s">
        <v>65</v>
      </c>
      <c r="J31" s="3" t="s">
        <v>28</v>
      </c>
      <c r="K31" s="3">
        <v>88.44</v>
      </c>
      <c r="L31" s="3" t="s">
        <v>13</v>
      </c>
      <c r="N31" s="4">
        <v>97</v>
      </c>
      <c r="O31" s="4" t="s">
        <v>140</v>
      </c>
      <c r="P31" s="4" t="s">
        <v>13</v>
      </c>
      <c r="Q31" s="4" t="s">
        <v>28</v>
      </c>
      <c r="R31" s="4" t="s">
        <v>141</v>
      </c>
      <c r="T31">
        <v>95</v>
      </c>
      <c r="U31" t="s">
        <v>128</v>
      </c>
      <c r="V31" t="s">
        <v>28</v>
      </c>
      <c r="W31" t="s">
        <v>178</v>
      </c>
      <c r="Y31" s="7">
        <v>91.4</v>
      </c>
      <c r="Z31" s="7" t="s">
        <v>216</v>
      </c>
      <c r="AA31" s="7" t="s">
        <v>28</v>
      </c>
      <c r="AB31" s="7" t="s">
        <v>217</v>
      </c>
      <c r="AD31" s="11">
        <v>93.8</v>
      </c>
      <c r="AE31" s="3" t="s">
        <v>128</v>
      </c>
      <c r="AF31" s="3" t="s">
        <v>28</v>
      </c>
      <c r="AG31" s="11" t="s">
        <v>253</v>
      </c>
    </row>
    <row r="32" spans="1:33">
      <c r="H32" s="3">
        <v>97.92</v>
      </c>
      <c r="I32" s="3" t="s">
        <v>66</v>
      </c>
      <c r="J32" s="3" t="s">
        <v>28</v>
      </c>
      <c r="K32" s="3">
        <v>83.72</v>
      </c>
      <c r="L32" s="3" t="s">
        <v>13</v>
      </c>
      <c r="N32" s="4">
        <v>92.4</v>
      </c>
      <c r="O32" s="4" t="s">
        <v>142</v>
      </c>
      <c r="P32" s="4" t="s">
        <v>12</v>
      </c>
      <c r="Q32" s="4" t="s">
        <v>28</v>
      </c>
      <c r="R32" s="4" t="s">
        <v>143</v>
      </c>
      <c r="T32">
        <v>94.25</v>
      </c>
      <c r="U32" t="s">
        <v>128</v>
      </c>
      <c r="V32" t="s">
        <v>28</v>
      </c>
      <c r="W32" t="s">
        <v>179</v>
      </c>
      <c r="Y32" s="7">
        <v>87.6</v>
      </c>
      <c r="Z32" s="7" t="s">
        <v>13</v>
      </c>
      <c r="AA32" s="7" t="s">
        <v>28</v>
      </c>
      <c r="AB32" s="7" t="s">
        <v>201</v>
      </c>
      <c r="AD32" s="11">
        <v>98.5</v>
      </c>
      <c r="AE32" s="3" t="s">
        <v>254</v>
      </c>
      <c r="AF32" s="3" t="s">
        <v>28</v>
      </c>
      <c r="AG32" s="11">
        <v>8.6199999999999992</v>
      </c>
    </row>
    <row r="33" spans="8:33">
      <c r="H33" s="3">
        <v>97</v>
      </c>
      <c r="I33" s="3" t="s">
        <v>67</v>
      </c>
      <c r="J33" s="3" t="s">
        <v>28</v>
      </c>
      <c r="K33" s="3">
        <v>84.64</v>
      </c>
      <c r="L33" s="3" t="s">
        <v>13</v>
      </c>
      <c r="N33" s="4">
        <v>81.8</v>
      </c>
      <c r="O33" s="4" t="s">
        <v>144</v>
      </c>
      <c r="P33" s="4" t="s">
        <v>13</v>
      </c>
      <c r="Q33" s="4" t="s">
        <v>28</v>
      </c>
      <c r="R33" s="4">
        <v>7.68</v>
      </c>
      <c r="T33" t="s">
        <v>180</v>
      </c>
      <c r="U33" t="s">
        <v>10</v>
      </c>
      <c r="V33" t="s">
        <v>28</v>
      </c>
      <c r="W33" t="s">
        <v>132</v>
      </c>
      <c r="Y33" s="7">
        <v>97.6</v>
      </c>
      <c r="Z33" s="7" t="s">
        <v>13</v>
      </c>
      <c r="AA33" s="7" t="s">
        <v>28</v>
      </c>
      <c r="AB33" s="7" t="s">
        <v>218</v>
      </c>
      <c r="AD33" s="11">
        <v>92.4</v>
      </c>
      <c r="AE33" s="3" t="s">
        <v>13</v>
      </c>
      <c r="AF33" s="3" t="s">
        <v>28</v>
      </c>
      <c r="AG33" s="11" t="s">
        <v>255</v>
      </c>
    </row>
    <row r="34" spans="8:33">
      <c r="H34" s="3">
        <v>98.25</v>
      </c>
      <c r="I34" s="3" t="s">
        <v>68</v>
      </c>
      <c r="J34" s="3" t="s">
        <v>28</v>
      </c>
      <c r="K34" s="3">
        <v>84</v>
      </c>
      <c r="L34" s="3" t="s">
        <v>13</v>
      </c>
      <c r="N34" s="4">
        <v>93.2</v>
      </c>
      <c r="O34" s="4" t="s">
        <v>145</v>
      </c>
      <c r="P34" s="4" t="s">
        <v>13</v>
      </c>
      <c r="Q34" s="4" t="s">
        <v>28</v>
      </c>
      <c r="R34" s="4" t="s">
        <v>113</v>
      </c>
      <c r="T34">
        <v>94.2</v>
      </c>
      <c r="U34" t="s">
        <v>13</v>
      </c>
      <c r="V34" t="s">
        <v>28</v>
      </c>
      <c r="W34">
        <v>8.3109999999999999</v>
      </c>
      <c r="Y34" s="7">
        <v>98.2</v>
      </c>
      <c r="Z34" s="7" t="s">
        <v>13</v>
      </c>
      <c r="AA34" s="7" t="s">
        <v>28</v>
      </c>
      <c r="AB34" s="7">
        <v>9.41</v>
      </c>
      <c r="AD34" s="11">
        <v>98</v>
      </c>
      <c r="AE34" s="3" t="s">
        <v>13</v>
      </c>
      <c r="AF34" s="3" t="s">
        <v>28</v>
      </c>
      <c r="AG34" s="11" t="s">
        <v>237</v>
      </c>
    </row>
    <row r="35" spans="8:33">
      <c r="H35" s="3">
        <v>95.2</v>
      </c>
      <c r="I35" s="3" t="s">
        <v>69</v>
      </c>
      <c r="J35" s="3" t="s">
        <v>28</v>
      </c>
      <c r="K35" s="3">
        <v>74.48</v>
      </c>
      <c r="L35" s="3" t="s">
        <v>13</v>
      </c>
      <c r="N35" s="4">
        <v>95.4</v>
      </c>
      <c r="O35" s="4" t="s">
        <v>146</v>
      </c>
      <c r="P35" s="4" t="s">
        <v>13</v>
      </c>
      <c r="Q35" s="4" t="s">
        <v>28</v>
      </c>
      <c r="R35" s="4" t="s">
        <v>147</v>
      </c>
      <c r="T35">
        <v>93.6</v>
      </c>
      <c r="U35" t="s">
        <v>13</v>
      </c>
      <c r="V35" t="s">
        <v>28</v>
      </c>
      <c r="W35">
        <v>52.72</v>
      </c>
      <c r="Y35" s="7">
        <v>97.4</v>
      </c>
      <c r="Z35" s="7" t="s">
        <v>13</v>
      </c>
      <c r="AA35" s="7" t="s">
        <v>28</v>
      </c>
      <c r="AB35" s="7" t="s">
        <v>219</v>
      </c>
      <c r="AD35" s="11">
        <v>97.8</v>
      </c>
      <c r="AE35" s="3" t="s">
        <v>12</v>
      </c>
      <c r="AF35" s="3" t="s">
        <v>28</v>
      </c>
      <c r="AG35" s="11" t="s">
        <v>256</v>
      </c>
    </row>
    <row r="36" spans="8:33">
      <c r="H36" s="3">
        <v>92</v>
      </c>
      <c r="I36" s="3" t="s">
        <v>70</v>
      </c>
      <c r="J36" s="3" t="s">
        <v>28</v>
      </c>
      <c r="K36" s="3">
        <v>74</v>
      </c>
      <c r="L36" s="3" t="s">
        <v>13</v>
      </c>
      <c r="N36" s="4">
        <v>98.2</v>
      </c>
      <c r="O36" s="4" t="s">
        <v>148</v>
      </c>
      <c r="P36" s="4" t="s">
        <v>149</v>
      </c>
      <c r="Q36" s="4" t="s">
        <v>28</v>
      </c>
      <c r="R36" s="4" t="s">
        <v>150</v>
      </c>
      <c r="T36">
        <v>94.4</v>
      </c>
      <c r="U36" t="s">
        <v>12</v>
      </c>
      <c r="V36" t="s">
        <v>28</v>
      </c>
      <c r="W36" t="s">
        <v>152</v>
      </c>
      <c r="Y36" s="7">
        <v>91.6</v>
      </c>
      <c r="Z36" s="7" t="s">
        <v>13</v>
      </c>
      <c r="AA36" s="7" t="s">
        <v>28</v>
      </c>
      <c r="AB36" s="7" t="s">
        <v>220</v>
      </c>
      <c r="AD36" s="11">
        <v>96.4</v>
      </c>
      <c r="AE36" s="3" t="s">
        <v>13</v>
      </c>
      <c r="AF36" s="3" t="s">
        <v>28</v>
      </c>
      <c r="AG36" s="11" t="s">
        <v>93</v>
      </c>
    </row>
    <row r="37" spans="8:33">
      <c r="H37" s="3">
        <v>90.2</v>
      </c>
      <c r="I37" s="3" t="s">
        <v>71</v>
      </c>
      <c r="J37" s="3" t="s">
        <v>28</v>
      </c>
      <c r="K37" s="3">
        <v>60.46</v>
      </c>
      <c r="L37" s="3" t="s">
        <v>13</v>
      </c>
      <c r="N37" s="4">
        <v>94.4</v>
      </c>
      <c r="O37" s="4" t="s">
        <v>151</v>
      </c>
      <c r="P37" s="4" t="s">
        <v>149</v>
      </c>
      <c r="Q37" s="4" t="s">
        <v>28</v>
      </c>
      <c r="R37" s="4" t="s">
        <v>152</v>
      </c>
      <c r="T37">
        <v>98.2</v>
      </c>
      <c r="U37" t="s">
        <v>12</v>
      </c>
      <c r="V37" t="s">
        <v>28</v>
      </c>
      <c r="W37" t="s">
        <v>150</v>
      </c>
      <c r="Y37" s="7">
        <v>98.4</v>
      </c>
      <c r="Z37" s="7" t="s">
        <v>13</v>
      </c>
      <c r="AA37" s="7" t="s">
        <v>28</v>
      </c>
      <c r="AB37" s="7" t="s">
        <v>221</v>
      </c>
      <c r="AD37" s="11">
        <v>92</v>
      </c>
      <c r="AE37" s="3" t="s">
        <v>13</v>
      </c>
      <c r="AF37" s="3" t="s">
        <v>28</v>
      </c>
      <c r="AG37" s="11" t="s">
        <v>257</v>
      </c>
    </row>
    <row r="38" spans="8:33">
      <c r="H38" s="3">
        <v>94</v>
      </c>
      <c r="I38" s="3" t="s">
        <v>72</v>
      </c>
      <c r="J38" s="3" t="s">
        <v>28</v>
      </c>
      <c r="K38" s="3">
        <v>80.88</v>
      </c>
      <c r="L38" s="3" t="s">
        <v>73</v>
      </c>
      <c r="N38" s="4">
        <v>96.4</v>
      </c>
      <c r="O38" s="4" t="s">
        <v>153</v>
      </c>
      <c r="P38" s="4" t="s">
        <v>154</v>
      </c>
      <c r="Q38" s="4" t="s">
        <v>28</v>
      </c>
      <c r="R38" s="4">
        <v>8.4049999999999994</v>
      </c>
      <c r="T38">
        <v>96.8</v>
      </c>
      <c r="U38" t="s">
        <v>12</v>
      </c>
      <c r="V38" t="s">
        <v>28</v>
      </c>
      <c r="W38">
        <v>9.3379999999999992</v>
      </c>
      <c r="Y38" s="7">
        <v>96.2</v>
      </c>
      <c r="Z38" s="7" t="s">
        <v>13</v>
      </c>
      <c r="AA38" s="7" t="s">
        <v>28</v>
      </c>
      <c r="AB38" s="7">
        <v>9.59</v>
      </c>
      <c r="AD38" s="11">
        <v>93.6</v>
      </c>
      <c r="AE38" s="3" t="s">
        <v>13</v>
      </c>
      <c r="AF38" s="3" t="s">
        <v>28</v>
      </c>
      <c r="AG38" s="11" t="s">
        <v>258</v>
      </c>
    </row>
    <row r="39" spans="8:33">
      <c r="H39" s="3">
        <v>96.2</v>
      </c>
      <c r="I39" s="3" t="s">
        <v>74</v>
      </c>
      <c r="J39" s="3" t="s">
        <v>28</v>
      </c>
      <c r="K39" s="3">
        <v>81.52</v>
      </c>
      <c r="L39" s="3" t="s">
        <v>73</v>
      </c>
      <c r="N39" s="4">
        <v>96</v>
      </c>
      <c r="O39" s="4" t="s">
        <v>155</v>
      </c>
      <c r="P39" s="4" t="s">
        <v>156</v>
      </c>
      <c r="Q39" s="4" t="s">
        <v>28</v>
      </c>
      <c r="R39" s="4" t="s">
        <v>157</v>
      </c>
      <c r="T39">
        <v>96.6</v>
      </c>
      <c r="U39" t="s">
        <v>13</v>
      </c>
      <c r="V39" t="s">
        <v>28</v>
      </c>
      <c r="W39" t="s">
        <v>181</v>
      </c>
      <c r="Y39" s="7">
        <v>95.2</v>
      </c>
      <c r="Z39" s="7" t="s">
        <v>13</v>
      </c>
      <c r="AA39" s="7" t="s">
        <v>28</v>
      </c>
      <c r="AB39" s="7" t="s">
        <v>119</v>
      </c>
      <c r="AD39" s="11">
        <v>99.2</v>
      </c>
      <c r="AE39" s="3" t="s">
        <v>13</v>
      </c>
      <c r="AF39" s="3" t="s">
        <v>28</v>
      </c>
      <c r="AG39" s="11" t="s">
        <v>259</v>
      </c>
    </row>
    <row r="40" spans="8:33">
      <c r="H40" s="3">
        <v>97</v>
      </c>
      <c r="I40" s="3" t="s">
        <v>75</v>
      </c>
      <c r="J40" s="3" t="s">
        <v>28</v>
      </c>
      <c r="K40" s="3">
        <v>86.04</v>
      </c>
      <c r="L40" s="3" t="s">
        <v>76</v>
      </c>
      <c r="T40">
        <v>97.6</v>
      </c>
      <c r="U40" t="s">
        <v>13</v>
      </c>
      <c r="V40" t="s">
        <v>28</v>
      </c>
      <c r="W40" t="s">
        <v>182</v>
      </c>
      <c r="Y40" s="7">
        <v>96.8</v>
      </c>
      <c r="Z40" s="7" t="s">
        <v>13</v>
      </c>
      <c r="AA40" s="7" t="s">
        <v>28</v>
      </c>
      <c r="AB40" s="7" t="s">
        <v>192</v>
      </c>
      <c r="AD40" s="12">
        <v>0.92400000000000004</v>
      </c>
      <c r="AE40" s="3" t="s">
        <v>13</v>
      </c>
      <c r="AF40" s="3" t="s">
        <v>28</v>
      </c>
      <c r="AG40" s="11" t="s">
        <v>260</v>
      </c>
    </row>
    <row r="41" spans="8:33">
      <c r="H41" s="3">
        <v>94.4</v>
      </c>
      <c r="I41" s="3" t="s">
        <v>77</v>
      </c>
      <c r="J41" s="3" t="s">
        <v>28</v>
      </c>
      <c r="K41" s="3">
        <v>76.36</v>
      </c>
      <c r="L41" s="3" t="s">
        <v>78</v>
      </c>
      <c r="T41">
        <v>93.25</v>
      </c>
      <c r="U41" t="s">
        <v>14</v>
      </c>
      <c r="V41" t="s">
        <v>28</v>
      </c>
      <c r="W41">
        <v>74.97</v>
      </c>
      <c r="Y41" s="7">
        <v>94.2</v>
      </c>
      <c r="Z41" s="7" t="s">
        <v>13</v>
      </c>
      <c r="AA41" s="7" t="s">
        <v>28</v>
      </c>
      <c r="AB41" s="7" t="s">
        <v>222</v>
      </c>
      <c r="AD41" s="11">
        <v>92.8</v>
      </c>
      <c r="AE41" s="3" t="s">
        <v>13</v>
      </c>
      <c r="AF41" s="3" t="s">
        <v>28</v>
      </c>
      <c r="AG41" s="11">
        <v>81.224999999999994</v>
      </c>
    </row>
    <row r="42" spans="8:33">
      <c r="H42" s="3">
        <v>97.2</v>
      </c>
      <c r="I42" s="3" t="s">
        <v>79</v>
      </c>
      <c r="J42" s="3" t="s">
        <v>28</v>
      </c>
      <c r="K42" s="3">
        <v>87.04</v>
      </c>
      <c r="L42" s="3" t="s">
        <v>20</v>
      </c>
      <c r="T42">
        <v>96.4</v>
      </c>
      <c r="U42" t="s">
        <v>13</v>
      </c>
      <c r="V42" t="s">
        <v>28</v>
      </c>
      <c r="W42" t="s">
        <v>183</v>
      </c>
      <c r="Y42" s="7">
        <v>95.4</v>
      </c>
      <c r="Z42" s="7" t="s">
        <v>13</v>
      </c>
      <c r="AA42" s="7" t="s">
        <v>28</v>
      </c>
      <c r="AB42" s="7">
        <v>8.01</v>
      </c>
      <c r="AD42" s="11">
        <v>97.4</v>
      </c>
      <c r="AE42" s="3" t="s">
        <v>13</v>
      </c>
      <c r="AF42" s="3" t="s">
        <v>28</v>
      </c>
      <c r="AG42" s="11" t="s">
        <v>261</v>
      </c>
    </row>
    <row r="43" spans="8:33">
      <c r="H43" s="3">
        <v>97.6</v>
      </c>
      <c r="I43" s="3" t="s">
        <v>80</v>
      </c>
      <c r="J43" s="3" t="s">
        <v>28</v>
      </c>
      <c r="K43" s="3">
        <v>84.72</v>
      </c>
      <c r="L43" s="3" t="s">
        <v>81</v>
      </c>
      <c r="T43">
        <v>81.8</v>
      </c>
      <c r="U43" t="s">
        <v>13</v>
      </c>
      <c r="V43" t="s">
        <v>28</v>
      </c>
      <c r="W43">
        <v>72.92</v>
      </c>
      <c r="Y43" s="7">
        <v>70.599999999999994</v>
      </c>
      <c r="Z43" s="7" t="s">
        <v>13</v>
      </c>
      <c r="AA43" s="7" t="s">
        <v>28</v>
      </c>
      <c r="AB43" s="7">
        <v>7.82</v>
      </c>
      <c r="AD43" s="11">
        <v>93</v>
      </c>
      <c r="AE43" s="3" t="s">
        <v>13</v>
      </c>
      <c r="AF43" s="3" t="s">
        <v>28</v>
      </c>
      <c r="AG43" s="11" t="s">
        <v>249</v>
      </c>
    </row>
    <row r="44" spans="8:33">
      <c r="T44">
        <v>93.2</v>
      </c>
      <c r="U44" t="s">
        <v>13</v>
      </c>
      <c r="V44" t="s">
        <v>28</v>
      </c>
      <c r="W44" t="s">
        <v>184</v>
      </c>
      <c r="Y44" s="7">
        <v>97.8</v>
      </c>
      <c r="Z44" s="7" t="s">
        <v>13</v>
      </c>
      <c r="AA44" s="7" t="s">
        <v>28</v>
      </c>
      <c r="AB44" s="7" t="s">
        <v>223</v>
      </c>
      <c r="AD44" s="11">
        <v>97.2</v>
      </c>
      <c r="AE44" s="3" t="s">
        <v>13</v>
      </c>
      <c r="AF44" s="3" t="s">
        <v>28</v>
      </c>
      <c r="AG44" s="11" t="s">
        <v>262</v>
      </c>
    </row>
    <row r="45" spans="8:33">
      <c r="T45">
        <v>93</v>
      </c>
      <c r="U45" t="s">
        <v>134</v>
      </c>
      <c r="V45" t="s">
        <v>28</v>
      </c>
      <c r="W45" t="s">
        <v>135</v>
      </c>
      <c r="Y45" s="7">
        <v>94.8</v>
      </c>
      <c r="Z45" s="7" t="s">
        <v>13</v>
      </c>
      <c r="AA45" s="7" t="s">
        <v>28</v>
      </c>
      <c r="AB45" s="7">
        <v>8.1890000000000001</v>
      </c>
      <c r="AD45" s="11">
        <v>89.4</v>
      </c>
      <c r="AE45" s="3" t="s">
        <v>263</v>
      </c>
      <c r="AF45" s="3" t="s">
        <v>28</v>
      </c>
      <c r="AG45" s="11" t="s">
        <v>264</v>
      </c>
    </row>
    <row r="46" spans="8:33">
      <c r="T46">
        <v>97</v>
      </c>
      <c r="U46" t="s">
        <v>73</v>
      </c>
      <c r="V46" t="s">
        <v>28</v>
      </c>
      <c r="W46">
        <v>9.1349999999999998</v>
      </c>
      <c r="Y46" s="8">
        <v>0.94399999999999995</v>
      </c>
      <c r="Z46" s="7" t="s">
        <v>13</v>
      </c>
      <c r="AA46" s="7" t="s">
        <v>28</v>
      </c>
      <c r="AB46" s="7" t="s">
        <v>224</v>
      </c>
      <c r="AD46" s="11">
        <v>94.6</v>
      </c>
      <c r="AE46" s="3" t="s">
        <v>13</v>
      </c>
      <c r="AF46" s="3" t="s">
        <v>28</v>
      </c>
      <c r="AG46" s="11" t="s">
        <v>265</v>
      </c>
    </row>
    <row r="47" spans="8:33">
      <c r="T47">
        <v>95.4</v>
      </c>
      <c r="U47" t="s">
        <v>73</v>
      </c>
      <c r="V47" t="s">
        <v>28</v>
      </c>
      <c r="W47" t="s">
        <v>185</v>
      </c>
      <c r="Y47" s="7">
        <v>95.6</v>
      </c>
      <c r="Z47" s="7" t="s">
        <v>12</v>
      </c>
      <c r="AA47" s="7" t="s">
        <v>28</v>
      </c>
      <c r="AB47" s="7" t="s">
        <v>225</v>
      </c>
      <c r="AD47" s="11">
        <v>94.6</v>
      </c>
      <c r="AE47" s="3" t="s">
        <v>13</v>
      </c>
      <c r="AF47" s="3" t="s">
        <v>28</v>
      </c>
      <c r="AG47" s="11" t="s">
        <v>266</v>
      </c>
    </row>
    <row r="48" spans="8:33">
      <c r="T48">
        <v>96.6</v>
      </c>
      <c r="U48" t="s">
        <v>186</v>
      </c>
      <c r="V48" t="s">
        <v>28</v>
      </c>
      <c r="W48" t="s">
        <v>187</v>
      </c>
      <c r="Y48" s="7">
        <v>96</v>
      </c>
      <c r="Z48" s="7" t="s">
        <v>13</v>
      </c>
      <c r="AA48" s="7" t="s">
        <v>28</v>
      </c>
      <c r="AB48" s="7" t="s">
        <v>193</v>
      </c>
      <c r="AD48" s="11">
        <v>92.2</v>
      </c>
      <c r="AE48" s="3" t="s">
        <v>13</v>
      </c>
      <c r="AF48" s="3" t="s">
        <v>28</v>
      </c>
      <c r="AG48" s="11" t="s">
        <v>267</v>
      </c>
    </row>
    <row r="49" spans="20:33">
      <c r="T49">
        <v>96</v>
      </c>
      <c r="U49" t="s">
        <v>188</v>
      </c>
      <c r="V49" t="s">
        <v>28</v>
      </c>
      <c r="W49" t="s">
        <v>189</v>
      </c>
      <c r="Y49" s="7">
        <v>89.4</v>
      </c>
      <c r="Z49" s="7" t="s">
        <v>13</v>
      </c>
      <c r="AA49" s="7" t="s">
        <v>28</v>
      </c>
      <c r="AB49" s="9" t="s">
        <v>226</v>
      </c>
      <c r="AD49" s="11">
        <v>93.6</v>
      </c>
      <c r="AE49" s="3" t="s">
        <v>13</v>
      </c>
      <c r="AF49" s="3" t="s">
        <v>28</v>
      </c>
      <c r="AG49" s="11" t="s">
        <v>268</v>
      </c>
    </row>
    <row r="50" spans="20:33">
      <c r="T50">
        <v>94.75</v>
      </c>
      <c r="U50" t="s">
        <v>190</v>
      </c>
      <c r="V50" t="s">
        <v>28</v>
      </c>
      <c r="W50" t="s">
        <v>143</v>
      </c>
      <c r="Y50" s="7">
        <v>98</v>
      </c>
      <c r="Z50" s="7" t="s">
        <v>13</v>
      </c>
      <c r="AA50" s="7" t="s">
        <v>28</v>
      </c>
      <c r="AB50" s="7" t="s">
        <v>227</v>
      </c>
      <c r="AD50" s="11">
        <v>90.2</v>
      </c>
      <c r="AE50" s="3" t="s">
        <v>12</v>
      </c>
      <c r="AF50" s="3" t="s">
        <v>28</v>
      </c>
      <c r="AG50" s="11">
        <v>7.8</v>
      </c>
    </row>
    <row r="51" spans="20:33">
      <c r="Y51" s="7">
        <v>99.2</v>
      </c>
      <c r="Z51" s="7" t="s">
        <v>149</v>
      </c>
      <c r="AA51" s="7" t="s">
        <v>28</v>
      </c>
      <c r="AB51" s="7" t="s">
        <v>227</v>
      </c>
      <c r="AD51" s="11">
        <v>98.4</v>
      </c>
      <c r="AE51" s="3" t="s">
        <v>13</v>
      </c>
      <c r="AF51" s="3" t="s">
        <v>28</v>
      </c>
      <c r="AG51" s="11" t="s">
        <v>266</v>
      </c>
    </row>
    <row r="52" spans="20:33">
      <c r="Y52" s="7">
        <v>94.8</v>
      </c>
      <c r="Z52" s="7" t="s">
        <v>73</v>
      </c>
      <c r="AA52" s="7" t="s">
        <v>28</v>
      </c>
      <c r="AB52" s="7" t="s">
        <v>219</v>
      </c>
      <c r="AD52" s="11">
        <v>96</v>
      </c>
      <c r="AE52" s="3" t="s">
        <v>13</v>
      </c>
      <c r="AF52" s="3" t="s">
        <v>28</v>
      </c>
      <c r="AG52" s="11" t="s">
        <v>234</v>
      </c>
    </row>
    <row r="53" spans="20:33">
      <c r="Y53" s="7">
        <v>97.8</v>
      </c>
      <c r="Z53" s="7" t="s">
        <v>73</v>
      </c>
      <c r="AA53" s="7" t="s">
        <v>28</v>
      </c>
      <c r="AB53" s="7" t="s">
        <v>228</v>
      </c>
      <c r="AD53" s="11">
        <v>71.2</v>
      </c>
      <c r="AE53" s="3" t="s">
        <v>73</v>
      </c>
      <c r="AF53" s="3" t="s">
        <v>269</v>
      </c>
      <c r="AG53" s="11" t="s">
        <v>184</v>
      </c>
    </row>
    <row r="54" spans="20:33">
      <c r="Y54" s="7">
        <v>95</v>
      </c>
      <c r="Z54" s="7" t="s">
        <v>73</v>
      </c>
      <c r="AA54" s="7" t="s">
        <v>28</v>
      </c>
      <c r="AB54" s="7">
        <v>8.6199999999999992</v>
      </c>
      <c r="AD54" s="11">
        <v>71.2</v>
      </c>
      <c r="AE54" s="3" t="s">
        <v>73</v>
      </c>
      <c r="AF54" s="3" t="s">
        <v>269</v>
      </c>
      <c r="AG54" s="11" t="s">
        <v>270</v>
      </c>
    </row>
    <row r="55" spans="20:33">
      <c r="Y55" s="8">
        <v>0.84599999999999997</v>
      </c>
      <c r="Z55" s="7" t="s">
        <v>229</v>
      </c>
      <c r="AA55" s="7" t="s">
        <v>28</v>
      </c>
      <c r="AB55" s="7" t="s">
        <v>230</v>
      </c>
      <c r="AD55" s="11">
        <v>93</v>
      </c>
      <c r="AE55" s="3" t="s">
        <v>73</v>
      </c>
      <c r="AF55" s="3" t="s">
        <v>28</v>
      </c>
      <c r="AG55" s="11">
        <v>6.75</v>
      </c>
    </row>
    <row r="56" spans="20:33">
      <c r="Y56" s="7">
        <v>95.4</v>
      </c>
      <c r="Z56" s="7" t="s">
        <v>73</v>
      </c>
      <c r="AA56" s="7" t="s">
        <v>28</v>
      </c>
      <c r="AB56" s="7" t="s">
        <v>231</v>
      </c>
      <c r="AD56" s="11">
        <v>96</v>
      </c>
      <c r="AE56" s="3" t="s">
        <v>73</v>
      </c>
      <c r="AF56" s="3" t="s">
        <v>28</v>
      </c>
      <c r="AG56" s="11" t="s">
        <v>271</v>
      </c>
    </row>
    <row r="57" spans="20:33">
      <c r="Y57" s="7">
        <v>97.2</v>
      </c>
      <c r="Z57" s="7" t="s">
        <v>73</v>
      </c>
      <c r="AA57" s="7" t="s">
        <v>28</v>
      </c>
      <c r="AB57" s="7">
        <v>9.1080000000000005</v>
      </c>
      <c r="AD57" s="11">
        <v>94.8</v>
      </c>
      <c r="AE57" s="3" t="s">
        <v>20</v>
      </c>
      <c r="AF57" s="3" t="s">
        <v>28</v>
      </c>
      <c r="AG57" s="11" t="s">
        <v>272</v>
      </c>
    </row>
    <row r="58" spans="20:33">
      <c r="Y58" s="7">
        <v>98.4</v>
      </c>
      <c r="Z58" s="7" t="s">
        <v>186</v>
      </c>
      <c r="AA58" s="7" t="s">
        <v>28</v>
      </c>
      <c r="AB58" s="7" t="s">
        <v>232</v>
      </c>
      <c r="AD58" s="11">
        <v>98.4</v>
      </c>
      <c r="AE58" s="3" t="s">
        <v>20</v>
      </c>
      <c r="AF58" s="3" t="s">
        <v>28</v>
      </c>
      <c r="AG58" s="11" t="s">
        <v>175</v>
      </c>
    </row>
    <row r="59" spans="20:33">
      <c r="Y59" s="7">
        <v>90.8</v>
      </c>
      <c r="Z59" s="7" t="s">
        <v>186</v>
      </c>
      <c r="AA59" s="7" t="s">
        <v>28</v>
      </c>
      <c r="AB59" s="7" t="s">
        <v>233</v>
      </c>
      <c r="AD59" s="11">
        <v>96.2</v>
      </c>
      <c r="AE59" s="3" t="s">
        <v>20</v>
      </c>
      <c r="AF59" s="3" t="s">
        <v>28</v>
      </c>
      <c r="AG59" s="11" t="s">
        <v>198</v>
      </c>
    </row>
    <row r="60" spans="20:33">
      <c r="AD60" s="11">
        <v>84.6</v>
      </c>
      <c r="AE60" s="3" t="s">
        <v>273</v>
      </c>
      <c r="AF60" s="3" t="s">
        <v>28</v>
      </c>
      <c r="AG60" s="11" t="s">
        <v>274</v>
      </c>
    </row>
    <row r="61" spans="20:33">
      <c r="AD61" s="11">
        <v>78.8</v>
      </c>
      <c r="AE61" s="3" t="s">
        <v>275</v>
      </c>
      <c r="AF61" s="3" t="s">
        <v>28</v>
      </c>
      <c r="AG61" s="11">
        <v>7.1619999999999999</v>
      </c>
    </row>
    <row r="62" spans="20:33">
      <c r="AD62" s="11">
        <v>71</v>
      </c>
      <c r="AE62" s="3" t="s">
        <v>276</v>
      </c>
      <c r="AF62" s="3" t="s">
        <v>28</v>
      </c>
      <c r="AG62" s="11">
        <v>6.47</v>
      </c>
    </row>
    <row r="63" spans="20:33">
      <c r="AD63" s="11">
        <v>71</v>
      </c>
      <c r="AE63" s="3" t="s">
        <v>276</v>
      </c>
      <c r="AF63" s="3" t="s">
        <v>28</v>
      </c>
      <c r="AG63" s="11">
        <v>6.41</v>
      </c>
    </row>
    <row r="64" spans="20:33">
      <c r="AD64" s="11">
        <v>71</v>
      </c>
      <c r="AE64" s="3" t="s">
        <v>276</v>
      </c>
      <c r="AF64" s="3" t="s">
        <v>28</v>
      </c>
      <c r="AG64" s="11">
        <v>6.41</v>
      </c>
    </row>
    <row r="65" spans="30:33">
      <c r="AD65" s="11">
        <v>80.2</v>
      </c>
      <c r="AE65" s="3" t="s">
        <v>277</v>
      </c>
      <c r="AF65" s="3" t="s">
        <v>28</v>
      </c>
      <c r="AG65" s="11" t="s">
        <v>278</v>
      </c>
    </row>
    <row r="66" spans="30:33">
      <c r="AD66" s="12">
        <v>0.92800000000000005</v>
      </c>
      <c r="AE66" s="3" t="s">
        <v>279</v>
      </c>
      <c r="AF66" s="3" t="s">
        <v>28</v>
      </c>
      <c r="AG66" s="11" t="s">
        <v>280</v>
      </c>
    </row>
    <row r="67" spans="30:33">
      <c r="AD67" s="11">
        <v>92.2</v>
      </c>
      <c r="AE67" s="3" t="s">
        <v>281</v>
      </c>
      <c r="AF67" s="3" t="s">
        <v>28</v>
      </c>
      <c r="AG67" s="11">
        <v>7.6890000000000001</v>
      </c>
    </row>
    <row r="68" spans="30:33">
      <c r="AD68" s="11">
        <v>95.4</v>
      </c>
      <c r="AE68" s="3" t="s">
        <v>282</v>
      </c>
      <c r="AF68" s="3" t="s">
        <v>28</v>
      </c>
      <c r="AG68" s="11" t="s">
        <v>283</v>
      </c>
    </row>
    <row r="69" spans="30:33">
      <c r="AD69" s="11">
        <v>94.6</v>
      </c>
      <c r="AE69" s="3" t="s">
        <v>284</v>
      </c>
      <c r="AF69" s="3" t="s">
        <v>28</v>
      </c>
      <c r="AG69" s="11" t="s">
        <v>285</v>
      </c>
    </row>
    <row r="70" spans="30:33">
      <c r="AD70" s="11">
        <v>95.4</v>
      </c>
      <c r="AE70" s="3" t="s">
        <v>286</v>
      </c>
      <c r="AF70" s="3" t="s">
        <v>28</v>
      </c>
      <c r="AG70" s="11" t="s">
        <v>287</v>
      </c>
    </row>
    <row r="71" spans="30:33">
      <c r="AD71" s="11">
        <v>95.2</v>
      </c>
      <c r="AE71" s="3" t="s">
        <v>282</v>
      </c>
      <c r="AF71" s="3" t="s">
        <v>28</v>
      </c>
      <c r="AG71" s="11">
        <v>9.25</v>
      </c>
    </row>
    <row r="72" spans="30:33">
      <c r="AD72" s="11">
        <v>95.4</v>
      </c>
      <c r="AE72" s="3" t="s">
        <v>288</v>
      </c>
      <c r="AF72" s="3" t="s">
        <v>28</v>
      </c>
      <c r="AG72" s="11" t="s">
        <v>212</v>
      </c>
    </row>
    <row r="73" spans="30:33">
      <c r="AD73" s="11">
        <v>95</v>
      </c>
      <c r="AE73" s="3" t="s">
        <v>289</v>
      </c>
      <c r="AF73" s="3" t="s">
        <v>28</v>
      </c>
      <c r="AG73" s="11" t="s">
        <v>266</v>
      </c>
    </row>
    <row r="74" spans="30:33">
      <c r="AD74" s="11">
        <v>94</v>
      </c>
      <c r="AE74" s="3" t="s">
        <v>290</v>
      </c>
      <c r="AF74" s="3" t="s">
        <v>291</v>
      </c>
      <c r="AG74" s="11" t="s">
        <v>292</v>
      </c>
    </row>
    <row r="75" spans="30:33">
      <c r="AD75" s="11">
        <v>95.6</v>
      </c>
      <c r="AE75" s="3" t="s">
        <v>293</v>
      </c>
      <c r="AF75" s="3" t="s">
        <v>28</v>
      </c>
      <c r="AG75" s="11" t="s">
        <v>111</v>
      </c>
    </row>
    <row r="76" spans="30:33">
      <c r="AD76" s="11">
        <v>92.4</v>
      </c>
      <c r="AE76" s="3" t="s">
        <v>294</v>
      </c>
      <c r="AF76" s="3" t="s">
        <v>295</v>
      </c>
      <c r="AG76" s="11" t="s">
        <v>231</v>
      </c>
    </row>
    <row r="77" spans="30:33">
      <c r="AD77" s="11">
        <v>91.6</v>
      </c>
      <c r="AE77" s="3" t="s">
        <v>296</v>
      </c>
      <c r="AF77" s="3" t="s">
        <v>28</v>
      </c>
      <c r="AG77" s="11">
        <v>7.69</v>
      </c>
    </row>
    <row r="78" spans="30:33">
      <c r="AD78" s="11">
        <v>94</v>
      </c>
      <c r="AE78" s="3" t="s">
        <v>297</v>
      </c>
      <c r="AF78" s="3" t="s">
        <v>28</v>
      </c>
      <c r="AG78" s="11">
        <v>6.9</v>
      </c>
    </row>
    <row r="79" spans="30:33">
      <c r="AD79" s="11">
        <v>91.6</v>
      </c>
      <c r="AE79" s="3" t="s">
        <v>298</v>
      </c>
      <c r="AF79" s="3" t="s">
        <v>28</v>
      </c>
      <c r="AG79" s="11">
        <v>7.69</v>
      </c>
    </row>
    <row r="80" spans="30:33">
      <c r="AD80" s="11">
        <v>97.2</v>
      </c>
      <c r="AE80" s="3" t="s">
        <v>299</v>
      </c>
      <c r="AF80" s="3" t="s">
        <v>28</v>
      </c>
      <c r="AG80" s="11" t="s">
        <v>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2022-11-29T15:40:33Z</dcterms:created>
  <dcterms:modified xsi:type="dcterms:W3CDTF">2022-12-06T14:31:43Z</dcterms:modified>
</cp:coreProperties>
</file>